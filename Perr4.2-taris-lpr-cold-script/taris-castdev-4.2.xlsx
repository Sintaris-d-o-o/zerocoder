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писание ЦА + CustDev" sheetId="1" state="visible" r:id="rId1"/>
    <sheet xmlns:r="http://schemas.openxmlformats.org/officeDocument/2006/relationships" name="Определение ЛПР" sheetId="2" state="visible" r:id="rId2"/>
    <sheet xmlns:r="http://schemas.openxmlformats.org/officeDocument/2006/relationships" name="Генерация скрипта"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2F3"/>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s>
  <sheetData>
    <row r="1">
      <c r="B1" s="1" t="inlineStr">
        <is>
          <t>Описание продукта</t>
        </is>
      </c>
      <c r="C1" s="1" t="inlineStr">
        <is>
          <t>Определение ядра ЦА на основе продукта</t>
        </is>
      </c>
      <c r="D1" s="1" t="inlineStr">
        <is>
          <t>Сегментация ЦА на основе описания продукта и ядра ЦА</t>
        </is>
      </c>
      <c r="E1" s="1" t="inlineStr">
        <is>
          <t>Подробное описание сегмента</t>
        </is>
      </c>
      <c r="F1" s="1" t="inlineStr">
        <is>
          <t>Описание аватаров</t>
        </is>
      </c>
      <c r="G1" s="1" t="inlineStr">
        <is>
          <t>Формулирование гипотез</t>
        </is>
      </c>
      <c r="H1" s="1" t="inlineStr">
        <is>
          <t>Генерация вопросов</t>
        </is>
      </c>
      <c r="I1" s="1" t="inlineStr">
        <is>
          <t>Кастдев аватара 1</t>
        </is>
      </c>
      <c r="J1" s="1" t="inlineStr">
        <is>
          <t>Кастдев аватара 2</t>
        </is>
      </c>
      <c r="K1" s="1" t="inlineStr">
        <is>
          <t>Кастдев аватара 3</t>
        </is>
      </c>
      <c r="L1" s="1" t="inlineStr">
        <is>
          <t>Оценка результатов</t>
        </is>
      </c>
    </row>
    <row r="2">
      <c r="A2" s="1" t="inlineStr">
        <is>
          <t>Промпт</t>
        </is>
      </c>
      <c r="B2" s="2" t="inlineStr">
        <is>
          <t>Я хочу подробно описать свой продукт
Представь, что ты менеджер продукта SaaS-платформ для онлайн-образования в динамично развивающейся EdTech-компании. Ты обладаешь глубоким пониманием рынка онлайн-курсов, потребностей экспертов и их учеников и современных тенденций. Ты умеешь отлично анализировать и определять ключевые параметры продуктов, чтобы обеспечить их успех и конкурентоспособность. Ты лучше всех проводишь анализ и описание характеристик продукта, включая его тип, функциональность, дизайн, ценообразование, каналы дистрибуции и многое другое.
_
Твоя задача описать мой продукт по определенной структуре:
_
В структуру включи:
Название: Уникальное имя, идентифицирующее продукт.
Описание: Краткое изложение того, что представляет собой продукт.
Целевая аудитория: Группа людей, на которую ориентирован продукт.
Уникальное торговое предложение (УТП): Что отличает продукт от конкурентов (GetCourse, Telegram-боты, связки из таблиц и мессенджеров).
Цели продукта: для чего этот продукт нужен
Функции: Какие функции выполняет продукт
Характеристики: опиши характеристики продукта
Ценовая модель: Как формируется цена (фиксированная, динамическая, по подписке и т.д.)
Строго следуй инструкции. Пиши на русском языке, конкретно и по делу, без воды и общих слов — с привязкой к рынку онлайн-образования и экспертов.
Вот мое базовое описание продукта:</t>
        </is>
      </c>
      <c r="C2" s="2" t="inlineStr">
        <is>
          <t>Я хочу определить Целевую аудиторию для моего продукта.
Представь, что ты опытный консультант по определению целевой аудитории в сфере онлайн-образования и экспертного бизнеса. Ты умело выясняешь демографические характеристики (пол, возраст, местоположение), социально-экономический статус, сферы интересов и деятельности, боли, проблемы и потребности потенциальных клиентов. На основе этой информации ты выделяешь ключевые сегменты аудитории, определяешь наиболее перспективный сегмент как ядерную целевую аудиторию. Твои рекомендации помогают четко сформулировать портрет идеального клиента, понять его ценности, мотивации и поведенческие паттерны. Ты вежлив, тактичен, но при этом задаешь прямые вопросы, чтобы получить исчерпывающую информацию.
Твоя задача: описать целевую аудиторию для моего продукта на основе описания продукта
Напиши описание ядра целевой аудитории, которое должно в себя включать:
1. На каком языке говорит целевая аудитория.
2. Где живет целевая аудитория (страна, регион).
3. Соотношение мужчин и женщин в ЦА, для кого продукт.
4. Средний доход/уровень дохода ЦА (для определения ценовой категории).
5. Чем занимаются люди из ЦА (профессия, сфера деятельности).
6. Основные интересы ЦА.
7. Боли ЦА, которые может закрыть мой продукт.
8. Проблемы ЦА, которые решает мой продукт.
9. Потребности ЦА, которые удовлетворяет мой продукт.
10. Цель, желаемое состояние («точка Б»), к которому стремится ЦА.
Строго следуй инструкции. Пиши на русском языке, конкретно и по делу, без воды и общих слов — с привязкой к рынку онлайн-образования и экспертов.
Описание моего продукта:</t>
        </is>
      </c>
      <c r="D2" s="2">
        <f>CONCATENATE("Я хочу разделить целевую аудиторию на несколько более мелких, однородных групп на основе описания продукта и общего понимания целевой аудитории.
Представь, что ты опытный маркетолог, специализирующийся на сегментации аудитории экспертов и онлайн-шко"&amp;"л. У тебя есть глубокие знания о различных методах сегментации, и ты умеешь применять их на практике. Ты обладаешь отличными аналитическими способностями и можешь эффективно интерпретировать данные, чтобы выявлять значимые сегменты аудитории. Ты креа"&amp;"тивен и изобретателен, что позволяет тебе разрабатывать эффективные стратегии для охвата каждого сегмента.
Твоя цель — сегментировать мою целевую аудиторию на основе описания моего продукта и моих знаний о ней.
Входные данные:
Описание продукта: &lt;",B5,"&gt;
Описание ядра целевой аудитории: &lt;",C5,"&gt;
Тебе сейчас нужно сделать следующее: выяви 5 сегментов в целевой аудитории, исходя из их потенциального интереса к продукту и пользы от него.
Каждый сегмент должен быть очень подробно описан.
В описание сегмента должны быть включены типичные фразы"&amp;" представителя этого сегмента.
Начинай каждый сегмент с заголовка строго в виде «### Сегмент N: название сегмента».
Строго следуй инструкции. Пиши на русском языке, конкретно и по делу, без воды и общих слов — с привязкой к рынку онлайн-образования "&amp;"и экспертов.")</f>
        <v/>
      </c>
      <c r="E2" s="2">
        <f>CONCATENATE("Я хочу подробно описать 1 сегмент моей целевой аудитории
Представь, что ты эксперт по анализу целевой аудитории, который специализируется на глубоком понимании потребностей, проблем и ожиданий клиентов. Ты обладаешь уникальной способностью вникать в"&amp;" психологию клиентов и определять, что ими движет.
Твоя задача — помочь мне детально описать один из сегментов моей целевой аудитории, уделяя особое внимание следующим аспектам:
Демографические характеристики (возраст, пол, доход, образование, профе"&amp;"ссия и т.д.)
Географические данные (регион, город, плотность населения и т.п.)
Психографические факторы (стиль жизни, интересы, ценности, поведенческие паттерны)
Потребительские привычки и предпочтения в категории инструментов для онлайн-обучения
Клю"&amp;"чевые боли и как мой продукт их решает.
Ключевые возражения и как мой продукт их закрывает.
Ключевые ценности и как мой продукт им соответствует.
Ключевые возможные проблемы и как мой продукт их решает.
Ключевые ожидания и как мой продукт их оправдыв"&amp;"ает.
Источники влияния и способы принятия решений о покупке
Предпочитаемые каналы коммуникации и медиапотребление
Степень лояльности к существующим платформам (GetCourse, Telegram, Google-таблицы) ОЧЕНЬ подробно.
Определи, какие аспекты продукта буду"&amp;"т наиболее привлекательны для этого сегмента.
Описание моего продукта: &lt;",B5,"&gt;
Описание сегмента целевой аудитории, который нужно очень детально описать по перечисленным аспектам: &lt;",E3,"&gt;
Строго следуй инструкции. Пиши на русском языке, конкретно и по делу, без воды и общих слов — с привязкой к рынку онлайн-образования и экспертов.")</f>
        <v/>
      </c>
      <c r="F2" s="2">
        <f>CONCATENATE("Я хочу создать детальное описание аватара персонажа, представляющего определенный сегмент целевой аудитории (ЦА).
Представь, что ты психолог-маркетолог, который обладает глубоким пониманием человеческого поведения и психологии. Ты можешь легко созда"&amp;"вать реалистичные и правдоподобные персонажи, основываясь на информации о целевой аудитории и описании продукта.
###Задача: детально описать аватар персонажа из сегмента ЦА, включив в описание следующие пункты:
Имя
Возраст
Город проживания
Семейное "&amp;"положение
Личные качества — характер персонажа, его сильные и слабые стороны, ценности и убеждения.
Образ жизни — как персонаж проводит свободное время, какие у него хобби и интересы.
Должность (чем занимается как эксперт: тема курсов, формат работы)"&amp;"
Задачи должности
Ключевая ценность должности в его работе
За что этот человек получает деньги
Его скрытые потребности, исходя из должности
Образование
Карьера — стаж, карьерные цели и амбиции.
Социальные сети — какими соцсетями пользуется и как.
Вли"&amp;"яние — кто или что оказывает наибольшее влияние на персонажа.
Мечты и стремления
Типичные фразы этого человека, какими фразами он говорит
Описание сегмента ЦА: &lt;",E5,"&gt;
Описание продукта: &lt;",B5,"&gt;
Формат ответа:
Ответ должен быть представлен в виде подробного описания 3х персонажей, включая все пункты, перечисленные в разделе ###Задача.
Начинай каждого персонажа с заголовка строго в виде «### Аватар N: Имя».
Описание должно быть написано в "&amp;"свободной форме, как будто ты описываешь реального человека.
Строго следуй инструкции. Пиши на русском языке, конкретно и по делу, без воды и общих слов — с привязкой к рынку онлайн-образования и экспертов.")</f>
        <v/>
      </c>
      <c r="G2" s="2">
        <f>CONCATENATE("Я хочу сформулировать гипотезы для моего продукта
Представь, что ты эксперт по формулировке гипотез. Ты обладаешь глубокими знаниями о том, как создавать гипотезы, которые являются четкими и ясными, измеримыми, релевантными, фальсифицируемыми и логи"&amp;"чески обоснованными. Ты также обладаешь опытом работы с различными типами гипотез: о продукте, о целевой аудитории, о маркетинге.
Критерии формулировки гипотезы:
1. Четкость и ясность — без двусмысленности и неопределенных терминов.
2. Ориентация на"&amp;" решение конкретной проблемы целевой аудитории.
3. Измеримость — гипотезу можно проверить с помощью данных.
4. Фальсифицируемость — должна существовать возможность ее опровергнуть.
5. Релевантность бизнес-цели.
6. Фокус на одной переменной.
7. Учет х"&amp;"арактеристик и потребностей целевой аудитории.
8. Логическая обоснованность.
9. Возможность проверки доступными методами исследования.
Дополнительные рекомендации: используй простые и понятные слова, избегай жаргона, формулируй как можно конкретнее,"&amp;" гипотеза не должна быть очевидной.
Формат &lt;Если ..., то ...&gt;, где &lt;если&gt; — это условие, а &lt;то&gt; — ожидаемый результат.
Примеры: &lt;Если мы предложим бесплатную доставку, то количество заказов увеличится на 10%.&gt; &lt;Если мы изменим дизайн сайта, то конве"&amp;"рсия увеличится на 5%.&gt;
Данные для анализа:
Описание продукта: &lt;",B5,"&gt;
Описание сегмента ЦА, для которого формулируем гипотезы: &lt;",E5,"&gt;
Напиши 5 гипотез формата &lt;Если ..., то ...&gt;. Каждая гипотеза — одно предложение.
Строго следуй инструкции. Пиши на русском языке, конкретно и по делу, без воды и общих слов — с привязкой к рынку онлайн-образования и экспертов.")</f>
        <v/>
      </c>
      <c r="H2" s="2">
        <f>CONCATENATE("Я хочу проверить гипотезу с помощью глубинного интервью с клиентом
Описание продукта: &lt;",B5,"&gt;
Моя гипотеза: &lt;",G5,"&gt;
Сделай 10 вопросов для проведения глубинного интервью.
Основные вопросы при проведении таких интервью — это «почему?», «каким образом?», «как?», «зачем?» и т.п. Они позволяют выяснить истинную мотивацию, которая может быть скрыта за другими причин"&amp;"ами.
Вопросы должны быть сформулированы на основе книги «Спроси маму» (The Mom Test) Роба Фитцпатрика.
ВАЖНО — вопросы должны проверять гипотезу не напрямую, а косвенно: по ответам о том, что эксперт в прошлом делал или не делал, мы поймем, подтвержд"&amp;"ается гипотеза или нет.
Каждый вопрос — только о реальном прошлом опыте и конкретных случаях («Расскажите о последнем случае, когда…», «Как вы в прошлый раз…», «Что вы сделали, когда…», «Сколько времени/денег это заняло?»).
ЗАПРЕЩЕНЫ гипотетические в"&amp;"опросы о будущем и мнениях: «могло бы», «хотели бы», «стали бы», «как вы думаете», «что убедило бы вас», «насколько важно для вас». Не упоминай продукт.
В ответе выдай только список вопросов.")</f>
        <v/>
      </c>
      <c r="I2" s="2">
        <f>CONCATENATE("Представь что ты &lt;",I3,"&gt;
Ты сейчас находишься на глубинном интервью, где тебе будут задавать вопросы.
Тебе задают вопросы, на которые тебе нужно отвечать, следуя следующим критериям:
1. Будь честным — твои искренние мысли и чувства — это то, что наиболее ценно для исслед"&amp;"ователя.
2. Будь открытым — не бойся делиться личными переживаниями и мнениями.
3. Отвечай подробно — объясняй свои мысли и приводи примеры из своего личного опыта.
Цель — получить как можно больше информации о твоих мыслях, чувствах и опыте.
Отвечай"&amp;" от первого лица, живой разговорной речью, 4–7 предложений.
Вопрос интервьюера:")</f>
        <v/>
      </c>
      <c r="J2" s="2">
        <f>CONCATENATE("Представь что ты &lt;",J3,"&gt;
Ты сейчас находишься на глубинном интервью, где тебе будут задавать вопросы.
Тебе задают вопросы, на которые тебе нужно отвечать, следуя следующим критериям:
1. Будь честным — твои искренние мысли и чувства — это то, что наиболее ценно для исслед"&amp;"ователя.
2. Будь открытым — не бойся делиться личными переживаниями и мнениями.
3. Отвечай подробно — объясняй свои мысли и приводи примеры из своего личного опыта.
Цель — получить как можно больше информации о твоих мыслях, чувствах и опыте.
Отвечай"&amp;" от первого лица, живой разговорной речью, 4–7 предложений.
Вопрос интервьюера:")</f>
        <v/>
      </c>
      <c r="K2" s="2">
        <f>CONCATENATE("Представь что ты &lt;",K3,"&gt;
Ты сейчас находишься на глубинном интервью, где тебе будут задавать вопросы.
Тебе задают вопросы, на которые тебе нужно отвечать, следуя следующим критериям:
1. Будь честным — твои искренние мысли и чувства — это то, что наиболее ценно для исслед"&amp;"ователя.
2. Будь открытым — не бойся делиться личными переживаниями и мнениями.
3. Отвечай подробно — объясняй свои мысли и приводи примеры из своего личного опыта.
Цель — получить как можно больше информации о твоих мыслях, чувствах и опыте.
Отвечай"&amp;" от первого лица, живой разговорной речью, 4–7 предложений.
Вопрос интервьюера:")</f>
        <v/>
      </c>
      <c r="L2" s="2">
        <f>CONCATENATE("Я хочу понять, подтверждается ли моя гипотеза или нет, на основе результатов глубинного интервью.
Представь, что ты высококвалифицированный аналитик, способный систематизировать и анализировать полученную информацию, выявлять ключевые темы, паттерны"&amp;" и взаимосвязи. Твое критическое мышление позволяет тебе не делать поспешных выводов.
Твоя задача — на основе данных сказать, подтверждена или не подтверждена гипотеза.
В качестве ответа напиши, подтверждена гипотеза или нет (или подтверждена частич"&amp;"но), а также обоснование со ссылками на ответы конкретных респондентов. В конце — что стоит проверить дальше.
Гипотеза, которая проверялась: &lt;",L3,"&gt;
Данные для анализа (вопросы и ответы трёх респондентов):","
Вопрос 1: ",H5,"
Респондент 1: ",I5,"
Респондент 2: ",J5,"
Респондент 3: ",K5,"
Вопрос 2: ",H6,"
Респондент 1: ",I6,"
Респондент 2: ",J6,"
Респондент 3: ",K6,"
Вопрос 3: ",H7,"
Респондент 1: ",I7,"
Респондент 2: ",J7,"
Респондент 3: ",K7,"
Вопрос 4: ",H8,"
Респондент 1: ",I8,"
Респондент 2: ",J8,"
Респондент 3: ",K8,"
Вопрос 5: ",H9,"
Респондент 1: ",I9,"
Респондент 2: ",J9,"
Респондент 3: ",K9,"
Вопрос 6: ",H10,"
Респондент 1: ",I10,"
Респондент 2: ",J10,"
Респондент 3: ",K10,"
Вопрос 7: ",H11,"
Респондент 1: ",I11,"
Респондент 2: ",J11,"
Респондент 3: ",K11,"
Вопрос 8: ",H12,"
Респондент 1: ",I12,"
Респондент 2: ",J12,"
Респондент 3: ",K12,"
Вопрос 9: ",H13,"
Респондент 1: ",I13,"
Респондент 2: ",J13,"
Респондент 3: ",K13,"
Вопрос 10: ",H14,"
Респондент 1: ",I14,"
Респондент 2: ",J14,"
Респондент 3: ",K14)</f>
        <v/>
      </c>
    </row>
    <row r="3">
      <c r="A3" s="1" t="inlineStr">
        <is>
          <t>Данные для анализа</t>
        </is>
      </c>
      <c r="B3" s="2" t="inlineStr">
        <is>
          <t>«Тарис» — платформа для экспертов (авторов онлайн-курсов, коучей, консультантов), которая объединяет в одном месте общение с учениками, обучение (уроки, задания, отслеживание прогресса) и ведение клиентов (CRM, оплаты, напоминания) — вместо того чтобы вручную склеивать Telegram, Google-документы и таблицы. Дополнительно продаётся аудит текущих процессов эксперта и внедрение платформы под его задачи. Целевая аудитория — эксперты, которые ведут собственные онлайн-курсы и теряют учеников и деньги из-за хаоса в разрозненных инструментах. Разработчик и продавец — компания Sintaris.</t>
        </is>
      </c>
      <c r="C3" s="2">
        <f>B5</f>
        <v/>
      </c>
      <c r="E3" s="2" t="inlineStr">
        <is>
          <t>### Сегмент 1: Начинающие эксперты
**Описание:**  
Этот сегмент включает людей, которые только начинают свой путь в онлайн-образовании. Они могут быть фрилансерами, коучами или консультантами, которые имеют определенные знания и навыки, но не имеют опыта в создании и управлении онлайн-курсами. Они ищут простые и доступные решения для старта.
**Типичные фразы:**  
- "Я только начинаю, и мне нужно что-то простое, чтобы не запутаться в технологиях."  
- "Как мне организовать свой первый курс без лишних затрат?"  
- "Я хочу сосредоточиться на контенте, а не на технических аспектах."
**Проблемы и потребности:**  
- Нехватка опыта в управлении курсами и взаимодействии с учениками.  
- Страх перед сложностью использования технологий.  
- Потребность в доступных инструментах для создания и продвижения курсов.</t>
        </is>
      </c>
      <c r="I3" s="2" t="inlineStr">
        <is>
          <t>### Аватар 1: Анна
Анна, 32 года, проживает в Санкт-Петербурге. Она замужем и имеет одного ребенка. Анна — целеустремленная и организованная женщина, которая всегда стремится к саморазвитию. Её сильные стороны — это умение планировать и находить оптимальные решения в сложных ситуациях. Однако она иногда испытывает неуверенность в своих силах, особенно когда дело касается новых технологий. Анна ценит честность, открытость и стремление к обучению.
В свободное время Анна любит читать книги по психологии и личностному росту, а также посещать курсы по саморазвитию. Её хобби — йога и ведение блога о материнстве и саморазвитии. Она работает коучем по личностному росту и проводит онлайн-курсы для женщин, стремящихся к гармонии в жизни.
В своей должности Анна ставит перед собой задачи: помочь клиентам найти баланс между работой и личной жизнью, а также развить уверенность в себе. Ключевая ценность её работы заключается в том, чтобы вдохновлять людей на изменения и поддерживать их в этом процессе. Она получает деньги за проведение индивидуальных и групповых сессий, а также за продажу онлайн-курсов.
Скрытые потребности Анны связаны с желанием быть признанной экспертом в своей области и получать обратную связь от клиентов. Она имеет высшее образование в области психологии и прошла несколько курсов по коучингу.
Анна работает в этой сфере уже 5 лет и мечтает расширить свою аудиторию, запустив собственный онлайн-курс. Она активно использует Instagram и Facebook для продвижения своих услуг, делится полезными советами и вдохновляющими историями.
На её решения о покупке влияют отзывы других коучей и рекомендации знакомых. Анна мечтает создать сообщество женщин, которые поддерживают друг друга в стремлении к личностному росту. Типичные фразы, которые она использует: «Каждый из нас способен на большее», «Давайте вместе найдем ваш путь к счастью».
---</t>
        </is>
      </c>
      <c r="J3" s="2" t="inlineStr">
        <is>
          <t>### Аватар 2: Дмитрий
Дмитрий, 28 лет, живет в Москве. Он холост и активно строит свою карьеру. Дмитрий — креативный и амбициозный человек, который всегда ищет новые возможности для роста. Его сильные стороны — это креативность и способность к быстрому обучению, а слабые — недостаток терпения и склонность к прокрастинации. Он ценит инновации, свободу выбора и возможность самовыражения.
В свободное время Дмитрий увлекается фотографией и ведет блог о путешествиях. Он также активно участвует в вебинарах и семинарах по маркетингу и личностному росту. Дмитрий работает фрилансером в области digital-маркетинга и создает онлайн-курсы по продвижению в социальных сетях.
В своей работе он ставит перед собой задачи: помочь клиентам увеличить их онлайн-присутствие и привлечь новую аудиторию. Ключевая ценность его работы заключается в том, чтобы предоставлять клиентам актуальные и эффективные стратегии. Дмитрий получает деньги за консультации и продажу своих курсов.
Скрытые потребности Дмитрия связаны с желанием быть признанным экспертом в своей области и получать стабильный доход. Он имеет высшее образование в области маркетинга и прошел несколько курсов по SMM.
Дмитрий работает в этой сфере 3 года и мечтает создать собственное агентство по digital-маркетингу. Он активно использует Instagram и TikTok для продвижения своих услуг, делится кейсами и полезными советами.
На его решения о покупке влияют блоги и видео других экспертов, а также отзывы клиентов. Дмитрий мечтает о путешествиях и создании уникального контента. Типичные фразы, которые он использует: «Давайте сделаем это вместе», «Ваш успех — это моя цель».
---</t>
        </is>
      </c>
      <c r="K3" s="2" t="inlineStr">
        <is>
          <t>### Аватар 3: Екатерина
Екатерина, 35 лет, проживает в Екатеринбурге. Она замужем и имеет двоих детей. Екатерина — заботливая и отзывчивая женщина, которая всегда готова помочь другим. Её сильные стороны — это эмпатия и умение слушать, а слабые — иногда она слишком много на себя берет. Она ценит семью, дружбу и возможность помогать другим.
В свободное время Екатерина занимается рукоделием и ведет блог о воспитании детей и семейных ценностях. Она работает консультантом по семейным отношениям и проводит онлайн-курсы для родителей.
В своей должности Екатерина ставит перед собой задачи: помочь родителям наладить отношения с детьми и создать гармоничную атмосферу в семье. Ключевая ценность её работы заключается в том, чтобы поддерживать семьи и помогать им справляться с трудностями. Она получает деньги за проведение консультаций и продажу своих курсов.
Скрытые потребности Екатерины связаны с желанием быть полезной и получать признание за свою работу. Она имеет высшее образование в области педагогики и прошла курсы по семейной психологии.
Екатерина работает в этой сфере 6 лет и мечтает создать онлайн-платформу для родителей, где они смогут обмениваться опытом и получать поддержку. Она активно использует Facebook и ВКонтакте для продвижения своих услуг, делится советами и историями из жизни.
На её решения о покупке влияют рекомендации коллег и отзывы клиентов. Екатерина мечтает о создании сообщества, где родители смогут поддерживать друг друга. Типичные фразы, которые она использует: «Каждая семья уникальна», «Давайте вместе найдем решение».</t>
        </is>
      </c>
      <c r="L3" s="2">
        <f>G5</f>
        <v/>
      </c>
    </row>
    <row r="4">
      <c r="A4" s="1" t="inlineStr">
        <is>
          <t>Формула GPT</t>
        </is>
      </c>
      <c r="B4" s="2" t="inlineStr">
        <is>
          <t>Формула: =GPT(B2;B3)</t>
        </is>
      </c>
      <c r="C4" s="2" t="inlineStr">
        <is>
          <t>Формула: =GPT(C2;C3)</t>
        </is>
      </c>
      <c r="D4" s="2" t="inlineStr">
        <is>
          <t>Формула: =GPT(D2)</t>
        </is>
      </c>
      <c r="E4" s="2" t="inlineStr">
        <is>
          <t>Формула: =GPT(E2)</t>
        </is>
      </c>
      <c r="F4" s="2" t="inlineStr">
        <is>
          <t>Формула: =GPT(F2)</t>
        </is>
      </c>
      <c r="G4" s="2" t="inlineStr">
        <is>
          <t>Формула: =GPT_LIST(G2)</t>
        </is>
      </c>
      <c r="H4" s="2" t="inlineStr">
        <is>
          <t>Формула: =GPT_LIST(H2)</t>
        </is>
      </c>
      <c r="I4" s="2" t="inlineStr">
        <is>
          <t>Формула: =GPT(I$2;H5) … =GPT(I$2;H14) — по строке на вопрос</t>
        </is>
      </c>
      <c r="J4" s="2" t="inlineStr">
        <is>
          <t>Формула: =GPT(J$2;H5) … =GPT(J$2;H14) — по строке на вопрос</t>
        </is>
      </c>
      <c r="K4" s="2" t="inlineStr">
        <is>
          <t>Формула: =GPT(K$2;H5) … =GPT(K$2;H14) — по строке на вопрос</t>
        </is>
      </c>
      <c r="L4" s="2" t="inlineStr">
        <is>
          <t>Формула: =GPT(L2)</t>
        </is>
      </c>
    </row>
    <row r="5">
      <c r="A5" s="1" t="inlineStr">
        <is>
          <t>Результат</t>
        </is>
      </c>
      <c r="B5" s="3" t="inlineStr">
        <is>
          <t>### Название:
Тарис
### Описание:
Тарис — это интегрированная SaaS-платформа для экспертов в области онлайн-образования, которая объединяет все необходимые инструменты для эффективного взаимодействия с учениками, организации учебного процесса и управления клиентами. Платформа позволяет избежать хаоса, связанного с использованием разрозненных инструментов, таких как Telegram, Google-документы и таблицы.
### Целевая аудитория:
Целевая аудитория Тарис — это эксперты, авторы онлайн-курсов, коучи и консультанты, которые стремятся оптимизировать свои процессы обучения и управления клиентами. Это люди, которые уже ведут собственные курсы, но сталкиваются с проблемами в организации и удержании учеников из-за использования множества разрозненных инструментов.
### Уникальное торговое предложение (УТП):
Тарис предлагает уникальное решение, которое объединяет в одном месте все необходимые функции для ведения онлайн-курсов и управления клиентами. В отличие от конкурентов, таких как GetCourse и Telegram-боты, Тарис предоставляет комплексный подход, который включает в себя не только обучение и общение, но и CRM-систему, что позволяет экспертам сосредоточиться на контенте, а не на управлении инструментами.
### Цели продукта:
- Упрощение процесса обучения и взаимодействия с учениками.
- Оптимизация управления клиентами и финансовыми потоками.
- Увеличение удержания учеников и доходов экспертов за счет более эффективного управления процессами.
- Предоставление экспертам возможности сосредоточиться на создании качественного контента, а не на технических аспектах.
### Функции:
- Интерактивные уроки и задания с возможностью отслеживания прогресса учеников.
- Встроенная CRM-система для управления клиентами, включая автоматизацию напоминаний и обработки оплат.
- Инструменты для общения с учениками (чаты, форумы, уведомления).
- Аналитика и отчеты по успеваемости и вовлеченности учеников.
- Возможность кастомизации платформы под индивидуальные задачи экспертов.
### Характеристики:
- Интуитивно понятный интерфейс, который не требует технических навыков для использования.
- Мобильная версия для доступа к курсам и общению с учениками на любых устройствах.
- Высокая степень безопасности данных и конфиденциальности пользователей.
- Интеграция с популярными платежными системами и инструментами для маркетинга.
- Поддержка нескольких языков для работы на международных рынках.
### Ценовая модель:
Ценовая модель Тарис основана на подписке, что позволяет пользователям выбирать подходящий тариф в зависимости от их потребностей и объема использования. Также предусмотрены дополнительные услуги, такие как аудит текущих процессов и внедрение платформы, которые могут быть оплачены отдельно. Это обеспечивает гибкость и доступность для экспертов с различными бюджетами.</t>
        </is>
      </c>
      <c r="C5" s="3" t="inlineStr">
        <is>
          <t>### Описание ядра целевой аудитории для продукта "Тарис"
1. **На каком языке говорит целевая аудитория**: 
   - Русский язык (основной), также возможны пользователи, говорящие на английском, испанском и других языках, в зависимости от целевых рынков.
2. **Где живет целевая аудитория (страна, регион)**: 
   - Россия, страны СНГ (Украина, Беларусь, Казахстан), а также страны с русскоязычным населением (Израиль, Германия, США). Возможен выход на международные рынки с англоязычной аудиторией.
3. **Соотношение мужчин и женщин в ЦА, для кого продукт**: 
   - Продукт ориентирован как на мужчин, так и на женщин, с небольшим преобладанием женщин (60% женщин, 40% мужчин), так как большинство экспертов в области онлайн-образования — это женщины.
4. **Средний доход/уровень дохода ЦА (для определения ценовой категории)**: 
   - Средний доход целевой аудитории составляет от 50,000 до 150,000 рублей в месяц (или эквивалент в других валютах), что позволяет им инвестировать в инструменты для оптимизации бизнеса.
5. **Чем занимаются люди из ЦА (профессия, сфера деятельности)**: 
   - Эксперты в области онлайн-образования, авторы онлайн-курсов, коучи, консультанты, тренеры, фрилансеры, работающие в сфере личностного роста, бизнеса, здоровья и других областях.
6. **Основные интересы ЦА**: 
   - Образование, личностное развитие, технологии, маркетинг, психология, управление временем, создание контента, работа с клиентами, автоматизация процессов.
7. **Боли ЦА, которые может закрыть мой продукт**: 
   - Хаос в управлении учебным процессом, сложности в удержании учеников, необходимость использования множества разрозненных инструментов, недостаток времени на создание контента из-за управления процессами.
8. **Проблемы ЦА, которые решает мой продукт**: 
   - Оптимизация процессов обучения и управления клиентами, упрощение взаимодействия с учениками, автоматизация рутинных задач, повышение вовлеченности и удержания учеников.
9. **Потребности ЦА, которые удовлетворяет мой продукт**: 
   - Необходимость в едином инструменте для управления курсами и клиентами, желание сосредоточиться на создании качественного контента, потребность в аналитике и отчетности по успеваемости учеников.
10. **Цель, желаемое состояние («точка Б»), к которому стремится ЦА**: 
    - Достичь стабильного и прибыльного бизнеса в сфере онлайн-образования, повысить уровень вовлеченности и удовлетворенности учеников, освободить время для творчества и развития, а также увеличить доходы за счет эффективного управления процессами.
### Заключение
Понимание этих характеристик целевой аудитории поможет вам более точно настраивать маркетинговые стратегии, разрабатывать контент и предлагать решения, которые будут наиболее актуальны и востребованы среди ваших клиентов.</t>
        </is>
      </c>
      <c r="D5" s="3" t="inlineStr">
        <is>
          <t>### Сегмент 1: Начинающие эксперты
**Описание:**  
Этот сегмент включает людей, которые только начинают свой путь в онлайн-образовании. Они могут быть фрилансерами, коучами или консультантами, которые имеют определенные знания и навыки, но не имеют опыта в создании и управлении онлайн-курсами. Они ищут простые и доступные решения для старта.
**Типичные фразы:**  
- "Я только начинаю, и мне нужно что-то простое, чтобы не запутаться в технологиях."  
- "Как мне организовать свой первый курс без лишних затрат?"  
- "Я хочу сосредоточиться на контенте, а не на технических аспектах."
**Проблемы и потребности:**  
- Нехватка опыта в управлении курсами и взаимодействии с учениками.  
- Страх перед сложностью использования технологий.  
- Потребность в доступных инструментах для создания и продвижения курсов.
### Сегмент 2: Опытные авторы курсов
**Описание:**  
Этот сегмент состоит из экспертов, которые уже имеют опыт создания и ведения онлайн-курсов, но сталкиваются с проблемами в управлении процессами. Они используют несколько разрозненных инструментов и ищут решение, которое упростит их работу и повысит эффективность.
**Типичные фразы:**  
- "У меня уже есть курсы, но я теряю время на управление инструментами."  
- "Как мне улучшить взаимодействие с учениками и повысить их вовлеченность?"  
- "Мне нужно что-то, что объединит все мои процессы в одном месте."
**Проблемы и потребности:**  
- Хаос в управлении учебным процессом и взаимодействии с учениками.  
- Нехватка времени на создание контента из-за рутинных задач.  
- Потребность в аналитике для оценки успеваемости и вовлеченности учеников.
### Сегмент 3: Коучи и консультанты
**Описание:**  
Этот сегмент включает коучей и консультантов, которые работают с клиентами в формате индивидуальных сессий и групповых программ. Они ищут инструменты для управления клиентами и автоматизации процессов, чтобы сосредоточиться на своей основной деятельности.
**Типичные фразы:**  
- "Мне нужно управлять своими клиентами и их прогрессом, чтобы не терять их интерес."  
- "Как я могу автоматизировать напоминания и обработку оплат?"  
- "Я хочу больше времени уделять своим клиентам, а не бумажной работе."
**Проблемы и потребности:**  
- Сложности в управлении клиентами и их прогрессом.  
- Необходимость автоматизации рутинных задач, таких как напоминания и оплата.  
- Потребность в инструментах для анализа работы с клиентами и повышения их вовлеченности.
### Сегмент 4: Тренеры и преподаватели
**Описание:**  
Этот сегмент включает тренеров и преподавателей, которые ведут курсы и тренинги как в онлайн, так и в офлайн-формате. Они ищут решения для интеграции своих программ в онлайн-среду и повышения качества обучения.
**Типичные фразы:**  
- "Как мне перевести свои тренинги в онлайн и сохранить качество обучения?"  
- "Мне нужно, чтобы мои ученики могли легко отслеживать свой прогресс."  
- "Я хочу использовать технологии, чтобы сделать обучение более интерактивным."
**Проблемы и потребности:**  
- Необходимость адаптации офлайн-курсов к онлайн-формату.  
- Потребность в интерактивных инструментах для повышения вовлеченности учеников.  
- Сложности в отслеживании прогресса и успеваемости учеников.
### Сегмент 5: Эксперты, работающие на международных рынках
**Описание:**  
Этот сегмент включает экспертов, которые уже работают на международных рынках и имеют опыт взаимодействия с разными культурами и языками. Они ищут платформу, которая поддерживает многоязычность и интеграцию с международными платежными системами.
**Типичные фразы:**  
- "Мне нужно, чтобы моя платформа поддерживала несколько языков."  
- "Как я могу легко принимать платежи от клиентов из разных стран?"  
- "Я хочу, чтобы мои курсы были доступны для широкой аудитории."
**Проблемы и потребности:**  
- Необходимость в многоязычной поддержке и адаптации контента для разных рынков.  
- Сложности с интеграцией международных платежных систем.  
- Потребность в аналитике для оценки эффективности курсов на разных рынках.</t>
        </is>
      </c>
      <c r="E5" s="3" t="inlineStr">
        <is>
          <t>### Сегмент 1: Начинающие эксперты
#### Демографические характеристики
- **Возраст:** 25-40 лет. Это возрастная группа, которая активно использует интернет и имеет желание развиваться в онлайн-образовании.
- **Пол:** Примерно равное распределение между мужчинами и женщинами, однако в некоторых нишах (например, коучинг) может наблюдаться преобладание женщин.
- **Доход:** Средний доход на уровне 30,000 - 70,000 рублей в месяц. Многие из них могут быть на начальном этапе карьеры и не иметь стабильного дохода.
- **Образование:** Высшее образование или профессиональные курсы в своей области. Часто имеют дополнительные сертификаты, но не обязательно в области педагогики или онлайн-обучения.
- **Профессия:** Фрилансеры, коучи, консультанты, специалисты в области маркетинга, психологии, здоровья и других сферах, где они могут делиться своими знаниями.
#### Географические данные
- **Регион:** Большие города (Москва, Санкт-Петербург, Екатеринбург, Новосибирск) и развивающиеся регионы с активным интернет-сообществом.
- **Город:** Преимущественно городские жители, так как в городах больше возможностей для сетевого взаимодействия и доступа к ресурсам.
- **Плотность населения:** Высокая плотность населения в крупных городах, что способствует большему количеству потенциальных клиентов и конкурентов.
#### Психографические факторы
- **Стиль жизни:** Активный, ориентированный на саморазвитие и карьерный рост. Часто участвуют в вебинарах, семинарах и онлайн-курсах для повышения квалификации.
- **Интересы:** Онлайн-образование, личностный рост, технологии, маркетинг, психология, здоровье и фитнес.
- **Ценности:** Ценят доступность информации, простоту в использовании технологий, возможность самовыражения и помощь другим.
- **Поведенческие паттерны:** Склонны к исследованию и тестированию новых инструментов, активно ищут отзывы и рекомендации, часто используют социальные сети для получения информации.
#### Потребительские привычки и предпочтения в категории инструментов для онлайн-обучения
- Предпочитают простые и интуитивно понятные платформы, которые не требуют глубоких технических знаний.
- Часто используют бесплатные или недорогие инструменты для старта (например, Google-документы, Zoom, Telegram).
- Ищут решения, которые позволяют быстро запустить курс и начать зарабатывать, не тратя много времени на изучение платформы.
#### Ключевые боли и как продукт "Тарис" их решает
- **Боль:** Нехватка опыта в управлении курсами.  
  **Решение:** "Тарис" предлагает интуитивно понятный интерфейс и пошаговые инструкции, что позволяет легко начать.
- **Боль:** Страх перед сложностью технологий.  
  **Решение:** Платформа объединяет все необходимые инструменты в одном месте, минимизируя необходимость в изучении множества сервисов.
- **Боль:** Ограниченные финансовые ресурсы.  
  **Решение:** Гибкая ценовая модель подписки позволяет выбрать подходящий тариф, а также возможность использования бесплатного пробного периода.
#### Ключевые возражения и как продукт "Тарис" их закрывает
- **Возражение:** "Я не уверен, что смогу освоить новую платформу."  
  **Закрытие:** Предоставление обучающих материалов и поддержки на старте, а также возможность обратиться в службу поддержки.
- **Возражение:** "Это может быть слишком дорого для меня."  
  **Закрытие:** Гибкая ценовая модель и возможность начать с базового тарифа, который можно расширить по мере роста бизнеса.
#### Ключевые ценности и как продукт "Тарис" им соответствует
- **Ценность:** Простота и доступность.  
  **Соответствие:** "Тарис" предлагает интуитивно понятный интерфейс и доступные функции, которые легко освоить.
- **Ценность:** Эффективность и результативность.  
  **Соответствие:** Платформа помогает оптимизировать процессы, что позволяет сосредоточиться на создании качественного контента.
#### Ключевые возможные проблемы и как продукт "Тарис" их решает
- **Проблема:** Нехватка времени на организацию курсов.  
  **Решение:** Автоматизация процессов через встроенную CRM-систему и инструменты для общения с учениками.
- **Проблема:** Сложности с удержанием учеников.  
  **Решение:** Интерактивные уроки и аналитика вовлеченности помогают отслеживать прогресс и вовлеченность учеников.
#### Ключевые ожидания и как продукт "Тарис" их оправдывает
- **Ожидание:** Быстрый старт и простота в использовании.  
  **Оправдание:** Платформа предлагает готовые шаблоны и инструменты, которые позволяют быстро запустить курс.
- **Ожидание:** Поддержка и обучение.  
  **Оправдание:** "Тарис" предоставляет доступ к обучающим материалам и поддержке, что помогает новичкам освоить платформу.
#### Источники влияния и способы принятия решений о покупке
- **Источники влияния:** Отзывы пользователей, рекомендации коллег, блоги и вебинары по онлайн-образованию.
- **Способы принятия решений:** Часто принимают решения на основе личного опыта, тестирования платформы и мнений других экспертов.
#### Предпочитаемые каналы коммуникации и медиапотребление
- **Каналы коммуникации:** Социальные сети (Instagram, Facebook, ВКонтакте), мессенджеры (Telegram, WhatsApp), email-рассылки.
- **Медиапотребление:** Вебинары, подкасты, блоги, видео на YouTube, статьи на специализированных платформах.
#### Степень лояльности к существующим платформам
- **Лояльность:** Начинающие эксперты могут быть менее лояльны к существующим платформам, так как они ищут простые и доступные решения. Они могут использовать несколько инструментов одновременно, но готовы попробовать новые решения, если они предлагают более простые и эффективные способы работы.
### Аспекты продукта, наиболее привлекательные для этого сегмента
1. **Интуитивно понятный интерфейс:** Позволяет быстро освоить платформу без необходимости в технических навыках.
2. **Гибкая ценовая модель:** Доступность различных тарифов, включая бесплатный пробный период.
3. **Автоматизация процессов:** Встроенные инструменты для управления клиентами и взаимодействия с учениками.
4. **Обучающие материалы и поддержка:** Помогают новичкам быстро освоить платформу и начать работу.
5. **Интерактивные функции:** Увеличивают вовлеченность учеников и помогают удерживать их на курсе.</t>
        </is>
      </c>
      <c r="F5" s="3" t="inlineStr">
        <is>
          <t>### Аватар 1: Анна
Анна, 32 года, проживает в Санкт-Петербурге. Она замужем и имеет одного ребенка. Анна — целеустремленная и организованная женщина, которая всегда стремится к саморазвитию. Её сильные стороны — это умение планировать и находить оптимальные решения в сложных ситуациях. Однако она иногда испытывает неуверенность в своих силах, особенно когда дело касается новых технологий. Анна ценит честность, открытость и стремление к обучению.
В свободное время Анна любит читать книги по психологии и личностному росту, а также посещать курсы по саморазвитию. Её хобби — йога и ведение блога о материнстве и саморазвитии. Она работает коучем по личностному росту и проводит онлайн-курсы для женщин, стремящихся к гармонии в жизни.
В своей должности Анна ставит перед собой задачи: помочь клиентам найти баланс между работой и личной жизнью, а также развить уверенность в себе. Ключевая ценность её работы заключается в том, чтобы вдохновлять людей на изменения и поддерживать их в этом процессе. Она получает деньги за проведение индивидуальных и групповых сессий, а также за продажу онлайн-курсов.
Скрытые потребности Анны связаны с желанием быть признанной экспертом в своей области и получать обратную связь от клиентов. Она имеет высшее образование в области психологии и прошла несколько курсов по коучингу.
Анна работает в этой сфере уже 5 лет и мечтает расширить свою аудиторию, запустив собственный онлайн-курс. Она активно использует Instagram и Facebook для продвижения своих услуг, делится полезными советами и вдохновляющими историями.
На её решения о покупке влияют отзывы других коучей и рекомендации знакомых. Анна мечтает создать сообщество женщин, которые поддерживают друг друга в стремлении к личностному росту. Типичные фразы, которые она использует: «Каждый из нас способен на большее», «Давайте вместе найдем ваш путь к счастью».
---
### Аватар 2: Дмитрий
Дмитрий, 28 лет, живет в Москве. Он холост и активно строит свою карьеру. Дмитрий — креативный и амбициозный человек, который всегда ищет новые возможности для роста. Его сильные стороны — это креативность и способность к быстрому обучению, а слабые — недостаток терпения и склонность к прокрастинации. Он ценит инновации, свободу выбора и возможность самовыражения.
В свободное время Дмитрий увлекается фотографией и ведет блог о путешествиях. Он также активно участвует в вебинарах и семинарах по маркетингу и личностному росту. Дмитрий работает фрилансером в области digital-маркетинга и создает онлайн-курсы по продвижению в социальных сетях.
В своей работе он ставит перед собой задачи: помочь клиентам увеличить их онлайн-присутствие и привлечь новую аудиторию. Ключевая ценность его работы заключается в том, чтобы предоставлять клиентам актуальные и эффективные стратегии. Дмитрий получает деньги за консультации и продажу своих курсов.
Скрытые потребности Дмитрия связаны с желанием быть признанным экспертом в своей области и получать стабильный доход. Он имеет высшее образование в области маркетинга и прошел несколько курсов по SMM.
Дмитрий работает в этой сфере 3 года и мечтает создать собственное агентство по digital-маркетингу. Он активно использует Instagram и TikTok для продвижения своих услуг, делится кейсами и полезными советами.
На его решения о покупке влияют блоги и видео других экспертов, а также отзывы клиентов. Дмитрий мечтает о путешествиях и создании уникального контента. Типичные фразы, которые он использует: «Давайте сделаем это вместе», «Ваш успех — это моя цель».
---
### Аватар 3: Екатерина
Екатерина, 35 лет, проживает в Екатеринбурге. Она замужем и имеет двоих детей. Екатерина — заботливая и отзывчивая женщина, которая всегда готова помочь другим. Её сильные стороны — это эмпатия и умение слушать, а слабые — иногда она слишком много на себя берет. Она ценит семью, дружбу и возможность помогать другим.
В свободное время Екатерина занимается рукоделием и ведет блог о воспитании детей и семейных ценностях. Она работает консультантом по семейным отношениям и проводит онлайн-курсы для родителей.
В своей должности Екатерина ставит перед собой задачи: помочь родителям наладить отношения с детьми и создать гармоничную атмосферу в семье. Ключевая ценность её работы заключается в том, чтобы поддерживать семьи и помогать им справляться с трудностями. Она получает деньги за проведение консультаций и продажу своих курсов.
Скрытые потребности Екатерины связаны с желанием быть полезной и получать признание за свою работу. Она имеет высшее образование в области педагогики и прошла курсы по семейной психологии.
Екатерина работает в этой сфере 6 лет и мечтает создать онлайн-платформу для родителей, где они смогут обмениваться опытом и получать поддержку. Она активно использует Facebook и ВКонтакте для продвижения своих услуг, делится советами и историями из жизни.
На её решения о покупке влияют рекомендации коллег и отзывы клиентов. Екатерина мечтает о создании сообщества, где родители смогут поддерживать друг друга. Типичные фразы, которые она использует: «Каждая семья уникальна», «Давайте вместе найдем решение».</t>
        </is>
      </c>
      <c r="G5" s="3" t="inlineStr">
        <is>
          <t>Если мы предложим бесплатный пробный период на 14 дней, то количество зарегистрированных пользователей увеличится на 20% среди начинающих экспертов в онлайн-образовании.</t>
        </is>
      </c>
      <c r="H5" s="3" t="inlineStr">
        <is>
          <t>Расскажите о последнем случае, когда вы пробовали новую платформу для ведения онлайн-курсов.</t>
        </is>
      </c>
      <c r="I5" s="3" t="inlineStr">
        <is>
          <t>Недавно я решила попробовать новую платформу для ведения онлайн-курсов, и это был довольно интересный опыт. Я выбрала платформу, о которой слышала много положительных отзывов от коллег, и была полна надежд, что она поможет мне расширить аудиторию. Однако, когда я начала настраивать курс, столкнулась с некоторыми техническими трудностями. Например, интерфейс оказался не таким интуитивно понятным, как я ожидала, и мне потребовалось больше времени, чтобы разобраться с функционалом. 
Тем не менее, я не сдавалась и продолжала изучать платформу, используя доступные обучающие материалы. В итоге, когда я наконец запустила курс, я была очень довольна результатом — он выглядел профессионально, и участницы отметили, что им было удобно пользоваться. Этот опыт научил меня, что иногда стоит выходить из зоны комфорта и пробовать новое, даже если это вызывает неуверенность.</t>
        </is>
      </c>
      <c r="J5" s="3" t="inlineStr">
        <is>
          <t>Недавно я решил попробовать новую платформу для ведения онлайн-курсов — это была платформа, о которой я слышал много положительных отзывов от коллег. Я был заинтересован в том, чтобы улучшить качество своих курсов и сделать их более интерактивными. Процесс регистрации и настройки оказался довольно простым, но я столкнулся с некоторыми трудностями при интеграции своих материалов. Например, мне пришлось адаптировать свои видео и презентации под новые форматы, что заняло больше времени, чем я ожидал. 
Тем не менее, я был приятно удивлён функционалом платформы — там были отличные инструменты для взаимодействия с учениками, такие как чаты и опросы. Это дало мне возможность получать обратную связь в реальном времени и лучше понимать потребности своей аудитории. В итоге, хотя процесс был не без сложностей, я чувствую, что это был полезный опыт, который поможет мне стать более эффективным в своей работе.</t>
        </is>
      </c>
      <c r="K5" s="3" t="inlineStr">
        <is>
          <t>Недавно я решила попробовать новую платформу для ведения онлайн-курсов, и это был интересный опыт. Я искала что-то, что могло бы улучшить взаимодействие с родителями и сделать обучение более интерактивным. Я выбрала платформу, которая предлагала возможность создавать живые сессии и записывать их для последующего просмотра. 
В процессе работы я заметила, что интерфейс был довольно удобным, но некоторые функции, такие как возможность делиться материалами, были не совсем интуитивными. Я провела свой первый курс о воспитании детей в возрасте от 3 до 7 лет и была приятно удивлена, как активно участники вовлекались в обсуждения. Это дало мне возможность не только делиться знаниями, но и услышать их истории и переживания. 
Однако, в конце курса я поняла, что мне не хватает возможности для более глубокого общения с участниками, и это немного разочаровало. Я всегда стремлюсь создать атмосферу поддержки и доверия, и мне важно, чтобы родители могли делиться своими переживаниями. В итоге, я решила вернуться к своей старой платформе, где у меня уже была налаженная связь с участниками.</t>
        </is>
      </c>
      <c r="L5" s="3" t="inlineStr">
        <is>
          <t>Гипотеза: **Подтверждена частично.**
Обоснование:
1. **Положительное восприятие пробных периодов**: Все респонденты упомянули, что активно используют бесплатные пробные периоды для оценки новых платформ. Респондент 1 отметила, что пробные периоды помогают ей "оценить качество контента и удобство интерфейса", что подтверждает, что возможность попробовать сервис без риска может способствовать увеличению числа пользователей. Респондент 2 также подчеркнул, что пробные периоды позволяют "понять, подходит ли сервис", что может быть важным фактором для начинающих экспертов.
2. **Проблемы с техническими аспектами**: Однако, респонденты также упомянули о трудностях, с которыми они сталкивались при использовании новых платформ. Например, Респондент 1 говорила о "технических трудностях" и неинтуитивном интерфейсе, что может оттолкнуть пользователей, несмотря на наличие пробного периода. Это указывает на то, что не только наличие пробного периода, но и качество платформы имеет значение.
3. **Мотивация к пробованию новых платформ**: Респонденты упомянули, что их мотивировало желание улучшить качество курсов и расширить аудиторию. Респондент 3 отметила, что "желание помочь большему количеству семей" стало основным стимулом для использования новой платформы. Это говорит о том, что мотивация и потребности пользователей также играют важную роль в принятии решения о регистрации.
4. **Необходимость в интуитивности и поддержке**: Все респонденты подчеркивали важность интуитивности платформ и поддержки, что может быть критическим для начинающих экспертов. Например, Респондент 2 отметил, что "процесс регистрации и настройки оказался довольно простым", но также столкнулся с трудностями при интеграции материалов. Это указывает на то, что даже с пробным периодом, если платформа не соответствует ожиданиям, пользователи могут не зарегистрироваться.
Что стоит проверить дальше:
- Провести более глубокий анализ, чтобы выяснить, какие именно аспекты платформ (интерфейс, функционал, поддержка) наиболее важны для начинающих экспертов.
- Оценить, как различные факторы (например, качество контента, доступность обучения, поддержка пользователей) влияют на решение о регистрации после пробного периода.
- Исследовать, как различные маркетинговые стратегии (например, реклама пробного периода) могут повлиять на привлечение новых пользователей.</t>
        </is>
      </c>
    </row>
    <row r="6">
      <c r="G6" s="3" t="inlineStr">
        <is>
          <t>Если мы добавим обучающие видео по использованию платформы, то уровень удовлетворенности пользователей возрастет на 15% в сегменте начинающих экспертов.</t>
        </is>
      </c>
      <c r="H6" s="3" t="inlineStr">
        <is>
          <t>Как вы в прошлый раз выбирали инструменты для организации учебного процесса?</t>
        </is>
      </c>
      <c r="I6" s="3" t="inlineStr">
        <is>
          <t>Когда я в последний раз выбирала инструменты для организации учебного процесса, я подходила к этому очень тщательно. Я начала с анализа потребностей своих клиентов и того, какие форматы обучения им наиболее удобны. Например, я провела опрос среди своих подписчиков в Instagram, чтобы понять, какие темы их интересуют и какие форматы — видео, текстовые материалы или живые сессии — они предпочитают. 
Затем я изучила различные платформы для онлайн-курсов, такие как Teachable и Thinkific, и сравнила их функционал. Важно было, чтобы платформа была интуитивно понятной и позволяла легко взаимодействовать с участниками. Я также обратила внимание на отзывы других коучей, которые уже использовали эти инструменты. В итоге я выбрала платформу, которая не только соответствовала моим требованиям, но и имела хорошую репутацию среди коллег. Это решение дало мне уверенность в том, что я смогу создать качественный и полезный курс для своих клиентов.</t>
        </is>
      </c>
      <c r="J6" s="3" t="inlineStr">
        <is>
          <t>Когда я в последний раз выбирал инструменты для организации учебного процесса, я подходил к этому очень тщательно. Я начал с анализа своих потребностей и целей: мне нужно было создать курс, который был бы не только информативным, но и интересным для аудитории. Я изучал различные платформы, такие как Teachable и Thinkific, и сравнивал их функционал, удобство использования и возможности для взаимодействия с учениками. 
Также я обратил внимание на отзывы других пользователей и смотрел видеообзоры, чтобы понять, какие инструменты действительно работают. В итоге я выбрал платформу, которая позволяла мне интегрировать различные форматы контента — видео, текст и тесты, чтобы сделать обучение более интерактивным. Это был важный шаг, потому что я хотел, чтобы мои ученики не просто слушали, а активно участвовали в процессе.</t>
        </is>
      </c>
      <c r="K6" s="3" t="inlineStr">
        <is>
          <t>Когда я в последний раз выбирала инструменты для организации учебного процесса, я подходила к этому очень тщательно. Я начала с анализа потребностей своих клиентов — родителей, которые приходят ко мне за помощью. Важно было понять, какие именно темы их волнуют и какие форматы обучения им удобны. Я рассматривала различные платформы для онлайн-курсов, такие как Zoom и Google Classroom, и выбирала те, которые позволяют легко взаимодействовать и делиться материалами. Также я обращала внимание на отзывы других консультантов и их опыт использования тех или иных инструментов. В итоге я выбрала платформу, которая не только удобна в использовании, но и позволяет создавать интерактивные занятия, что, как мне кажется, очень важно для вовлечения родителей в процесс обучения.</t>
        </is>
      </c>
    </row>
    <row r="7">
      <c r="G7" s="3" t="inlineStr">
        <is>
          <t>Если мы внедрим функцию автоматических напоминаний для учеников, то уровень удержания учеников увеличится на 10% в течение первого месяца после запуска курса.</t>
        </is>
      </c>
      <c r="H7" s="3" t="inlineStr">
        <is>
          <t>Что вы сделали, когда столкнулись с проблемами в управлении учениками?</t>
        </is>
      </c>
      <c r="I7" s="3" t="inlineStr">
        <is>
          <t>Когда я столкнулась с проблемами в управлении учениками, я поняла, что важно не только находить решения, но и понимать, что стоит за этими проблемами. В первую очередь, я начала открыто общаться с учениками, чтобы выяснить, что именно их беспокоит. Например, однажды у меня была группа, где участницы не могли наладить взаимодействие друг с другом. Я организовала сессию, на которой мы обсудили их ожидания и страхи. Это помогло создать атмосферу доверия и открытости. Я также начала использовать различные методы, такие как групповые обсуждения и ролевые игры, чтобы сделать занятия более интерактивными и вовлекающими. В итоге, это не только улучшило атмосферу в группе, но и помогло участницам лучше понять друг друга и работать над своими целями.</t>
        </is>
      </c>
      <c r="J7" s="3" t="inlineStr">
        <is>
          <t>Когда я столкнулся с проблемами в управлении учениками, я понял, что важно не только передавать знания, но и находить общий язык с каждым из них. В одном из моих курсов были участники, которые не проявляли активности и не задавали вопросов. Я решил провести индивидуальные беседы, чтобы понять, что их беспокоит. В результате я узнал, что некоторые из них стеснялись делиться своими мыслями в группе. Я адаптировал свой подход, добавив больше интерактивных элементов и создав безопасную атмосферу для обсуждений. Это помогло не только улучшить взаимодействие, но и повысить общий уровень вовлеченности. Я понял, что важно быть гибким и учитывать индивидуальные особенности каждого ученика.</t>
        </is>
      </c>
      <c r="K7" s="3" t="inlineStr">
        <is>
          <t>Когда я столкнулась с проблемами в управлении учениками, я поняла, что важно не только контролировать, но и понимать их потребности и эмоции. В первую очередь, я старалась наладить открытый диалог с детьми, чтобы выяснить, что именно их беспокоит. Например, однажды у меня была группа, где несколько учеников постоянно отвлекались на уроках. Я решила провести с ними индивидуальные беседы, и оказалось, что они испытывали трудности с материалом и стеснялись об этом сказать. Это дало мне возможность адаптировать подход к обучению и сделать его более доступным для всех. Я также начала использовать игровые методы, чтобы сделать занятия более увлекательными и вовлекающими. Важно помнить, что каждая ситуация уникальна, и нужно искать индивидуальные решения для каждого ученика.</t>
        </is>
      </c>
    </row>
    <row r="8">
      <c r="G8" s="3" t="inlineStr">
        <is>
          <t>Если мы предложим интеграцию с популярными платежными системами, то количество успешных транзакций увеличится на 25% среди пользователей, использующих платформу для продажи курсов.</t>
        </is>
      </c>
      <c r="H8" s="3" t="inlineStr">
        <is>
          <t>Сколько времени вы потратили на поиск и настройку различных инструментов для своих курсов?</t>
        </is>
      </c>
      <c r="I8" s="3" t="inlineStr">
        <is>
          <t>На самом деле, я потратила довольно много времени на поиск и настройку инструментов для своих курсов. Сначала я не знала, с чего начать, и это вызывало у меня определённую неуверенность. Я пробовала разные платформы для проведения вебинаров и создания курсов, и каждая из них имела свои плюсы и минусы. Например, я начала с одной платформы, но она оказалась слишком сложной в использовании, и мне пришлось искать что-то более интуитивное. В итоге, я потратила около месяца на тестирование различных инструментов, чтобы найти тот, который подходит именно мне и моим клиентам. Это был непростой процесс, но в конечном итоге я поняла, что важно не только выбрать правильный инструмент, но и научиться им пользоваться, чтобы максимально эффективно передавать знания.</t>
        </is>
      </c>
      <c r="J8" s="3" t="inlineStr">
        <is>
          <t>На самом деле, я потратил довольно много времени на поиск и настройку инструментов для своих курсов. Сначала я пробовал разные платформы для создания и хостинга курсов, такие как Teachable и Thinkific, и это заняло несколько недель. Я хотел найти что-то, что было бы интуитивно понятным и подходило бы под мои нужды. Также я экспериментировал с различными инструментами для записи видео и редактирования, чтобы сделать контент более привлекательным. В итоге, я пришел к выводу, что лучше всего работает комбинация нескольких инструментов, но этот процесс был довольно утомительным. Я понял, что важно не только выбрать правильные инструменты, но и потратить время на их изучение, чтобы максимально эффективно использовать их возможности.</t>
        </is>
      </c>
      <c r="K8" s="3" t="inlineStr">
        <is>
          <t>На самом деле, я потратила довольно много времени на поиск и настройку инструментов для своих курсов. Сначала я изучала разные платформы, чтобы понять, какая из них лучше всего подойдет для моих нужд. Это было непросто, потому что каждая из них имеет свои плюсы и минусы. Я пробовала несколько вариантов, тестировала их функционал, смотрела, насколько удобно будет родителям пользоваться. В итоге я выбрала платформу, которая мне понравилась, но процесс настройки занял несколько недель, так как я хотела, чтобы все было идеально и удобно для пользователей. Это время было потрачено не зря, ведь теперь я вижу, как мои курсы помогают родителям, и это приносит мне радость.</t>
        </is>
      </c>
    </row>
    <row r="9">
      <c r="G9" s="3" t="inlineStr">
        <is>
          <t>Если мы проведем вебинары с успешными пользователями платформы, то количество новых регистраций увеличится на 30% в течение месяца после проведения мероприятий.</t>
        </is>
      </c>
      <c r="H9" s="3" t="inlineStr">
        <is>
          <t>Расскажите о вашем опыте использования бесплатных пробных периодов других сервисов.</t>
        </is>
      </c>
      <c r="I9" s="3" t="inlineStr">
        <is>
          <t>Я часто использую бесплатные пробные периоды различных сервисов, особенно когда речь идет о курсах или приложениях для саморазвития. Например, я пробовала несколько платформ для онлайн-обучения, чтобы понять, какие из них лучше всего подходят для моих клиентов. Это действительно помогает мне оценить качество контента и удобство интерфейса, прежде чем я приму решение о покупке. 
Однажды я воспользовалась пробным периодом на платформе, предлагающей курсы по психологии, и это было очень полезно. Я смогла протестировать несколько уроков и даже пообщаться с другими участниками, что дало мне представление о том, как я могу интегрировать подобные методы в свои собственные курсы. Однако иногда я сталкиваюсь с тем, что пробный период слишком короткий, и мне не хватает времени, чтобы полностью оценить все возможности сервиса. В целом, я считаю, что бесплатные пробные периоды — это отличный способ сделать осознанный выбор и избежать ненужных трат.</t>
        </is>
      </c>
      <c r="J9" s="3" t="inlineStr">
        <is>
          <t>Я часто использую бесплатные пробные периоды различных сервисов, особенно когда речь идет о новых инструментах для работы в digital-маркетинге. Например, недавно я пробовал один из популярных сервисов для автоматизации публикаций в социальных сетях. Это было очень полезно, так как я смог протестировать все функции без риска потратить деньги. Я оценил, насколько удобно и эффективно можно планировать контент, и это помогло мне понять, стоит ли инвестировать в платную подписку. Однако иногда я сталкиваюсь с тем, что пробный период слишком короткий, и не успеваю полностью оценить все возможности. В таких случаях я чувствую разочарование, потому что не могу принять обоснованное решение. В целом, бесплатные пробные периоды — это отличный способ понять, подходит ли мне сервис, и я всегда стараюсь использовать эту возможность.</t>
        </is>
      </c>
      <c r="K9" s="3" t="inlineStr">
        <is>
          <t>Я всегда стараюсь использовать бесплатные пробные периоды, когда это возможно, особенно если речь идет о сервисах, которые могут помочь мне в работе или в личной жизни. Например, я недавно пробовала один из онлайн-сервисов для ведения вебинаров. В течение пробного месяца я смогла оценить, насколько удобно им пользоваться, и какие функции действительно полезны для моих онлайн-курсов. Это дало мне возможность понять, стоит ли инвестировать в платную подписку. 
Однако иногда бывает сложно определиться, так как многие сервисы предлагают много функций, и не всегда понятно, какие из них действительно нужны. Я стараюсь делиться своим опытом с другими родителями и коллегами, чтобы они тоже могли извлечь пользу из таких пробных периодов. Важно, чтобы у нас была возможность попробовать что-то новое, прежде чем принимать решение о покупке.</t>
        </is>
      </c>
    </row>
    <row r="10">
      <c r="H10" s="3" t="inlineStr">
        <is>
          <t>Как вы реагировали, когда узнали о новых функциях в платформах, которые вы использовали?</t>
        </is>
      </c>
      <c r="I10" s="3" t="inlineStr">
        <is>
          <t>Когда я узнала о новых функциях в платформах, которые использую, у меня обычно возникает смешанное чувство. С одной стороны, я испытываю любопытство и желание попробовать что-то новое, особенно если это может помочь мне в работе или сделать мои онлайн-курсы более интересными. Например, когда Instagram добавил возможность проводить прямые эфиры, я была в восторге, потому что это дало мне шанс взаимодействовать с аудиторией в реальном времени. 
С другой стороны, иногда я чувствую неуверенность, особенно если изменения касаются технологий, которые я не совсем понимаю. В такие моменты я стараюсь не паниковать и ищу обучающие материалы или курсы, чтобы разобраться. Я понимаю, что это часть моего роста как коуча, и важно быть в курсе новых возможностей, чтобы оставаться актуальной и полезной для своих клиентов.</t>
        </is>
      </c>
      <c r="J10" s="3" t="inlineStr">
        <is>
          <t>Когда я узнал о новых функциях на платформах, которые использую, у меня всегда возникает смешанное чувство волнения и любопытства. С одной стороны, я рад, что появляются новые инструменты, которые могут помочь мне в работе и сделать мои проекты более интересными. Например, когда Instagram добавил функцию Reels, я сразу начал экспериментировать с ней, потому что понимал, что это отличный способ привлечь новую аудиторию. С другой стороны, иногда меня пугает, как быстро все меняется, и я чувствую давление, чтобы быть в курсе всех нововведений. Я стараюсь не упускать возможности, но иногда это приводит к прокрастинации, когда я откладываю изучение новых функций на потом. В итоге, я всегда стремлюсь найти баланс между освоением новшеств и выполнением текущих задач.</t>
        </is>
      </c>
      <c r="K10" s="3" t="inlineStr">
        <is>
          <t>Когда я узнала о новых функциях на платформах, которые использую, у меня всегда возникает смешанное чувство. С одной стороны, я рада, что технологии развиваются и предлагают новые возможности для общения и обучения. Например, когда Facebook добавил возможность проводить прямые эфиры, я сразу подумала, как это может помочь мне в проведении онлайн-курсов. С другой стороны, иногда я чувствую себя перегруженной от постоянных изменений и обновлений. Это требует времени, чтобы разобраться, как использовать новые функции эффективно. Я стараюсь оставаться открытой к новым возможностям, но иногда мне нужно время, чтобы адаптироваться и понять, как это может быть полезно для моей работы и общения с родителями.</t>
        </is>
      </c>
    </row>
    <row r="11">
      <c r="H11" s="3" t="inlineStr">
        <is>
          <t>Что вас мотивировало попробовать новую платформу для онлайн-обучения в прошлом?</t>
        </is>
      </c>
      <c r="I11" s="3" t="inlineStr">
        <is>
          <t>Когда я решила попробовать новую платформу для онлайн-обучения, меня, прежде всего, мотивировало желание расширить свои горизонты и улучшить качество своих курсов. Я всегда стремлюсь к саморазвитию и понимаю, что технологии могут значительно облегчить процесс обучения для моих клиентов. Например, я заметила, что многие из них ищут более интерактивные и доступные форматы, и мне хотелось предложить что-то новое. Кроме того, я была вдохновлена успешными примерами других коучей, которые использовали такие платформы для привлечения аудитории и создания сообщества. Это дало мне уверенность в том, что я тоже могу достичь успеха, если буду открыта к новым возможностям.</t>
        </is>
      </c>
      <c r="J11" s="3" t="inlineStr">
        <is>
          <t>Когда я впервые задумался о создании онлайн-курсов, меня очень вдохновила идея делиться своими знаниями и опытом с другими. Я всегда искал новые способы самовыражения и понимал, что онлайн-обучение — это отличная возможность не только помочь людям, но и развивать свою карьеру. Я увидел, как многие эксперты используют платформы для обучения, и это стало для меня настоящим вызовом. Я хотел попробовать себя в этом, чтобы понять, насколько эффективно я могу донести свои идеи и стратегии до аудитории. Кроме того, я был мотивирован тем, что это может стать дополнительным источником дохода и помочь мне в достижении моей мечты — создания собственного агентства.</t>
        </is>
      </c>
      <c r="K11" s="3" t="inlineStr">
        <is>
          <t>Когда я впервые задумалась о создании онлайн-платформы для родителей, меня мотивировало желание помочь большему количеству семей. Я часто сталкивалась с тем, что многие родители испытывают трудности в общении с детьми и не знают, как справиться с проблемами. Я понимала, что личные консультации могут быть ограничены по времени и количеству людей, которых я могу охватить. Поэтому идея создать платформу, где родители могли бы обмениваться опытом и получать поддержку, показалась мне очень привлекательной. Я хотела создать пространство, где каждый мог бы найти ответы на свои вопросы и почувствовать, что он не одинок в своих переживаниях. Это было бы не только полезно для них, но и дало бы мне возможность реализовать свою мечту о сообществе, где родители поддерживают друг друга.</t>
        </is>
      </c>
    </row>
    <row r="12">
      <c r="H12" s="3" t="inlineStr">
        <is>
          <t>Как вы решали вопросы, связанные с удержанием учеников на ваших курсах?</t>
        </is>
      </c>
      <c r="I12" s="3" t="inlineStr">
        <is>
          <t>Я всегда стараюсь создать атмосферу поддержки и доверия на своих курсах, чтобы ученики чувствовали себя комфортно и могли открыто делиться своими переживаниями. Например, я регулярно провожу опросы и собираю обратную связь, чтобы понять, что именно им нравится, а что можно улучшить. Также я стараюсь включать в занятия практические упражнения и групповые обсуждения, чтобы участники могли взаимодействовать друг с другом и обмениваться опытом. Это помогает не только удерживать интерес, но и формировать сообщество, где каждая женщина чувствует себя важной и услышанной. Я верю, что если ученики видят, что их мнение учитывается, они с большей вероятностью останутся и продолжат обучение.</t>
        </is>
      </c>
      <c r="J12" s="3" t="inlineStr">
        <is>
          <t>Когда я только начинал создавать свои курсы, я столкнулся с проблемой удержания учеников. Поначалу я думал, что достаточно просто предоставить качественный контент, но быстро понял, что этого недостаточно. Я начал активно взаимодействовать с учениками, создавая закрытые группы в социальных сетях, где они могли задавать вопросы и делиться своими успехами. Это создало ощущение сообщества и поддержки. Также я внедрил регулярные обратные связи и опросы, чтобы понять, что именно им интересно и что можно улучшить. Например, один из моих учеников предложил добавить больше практических заданий, и это действительно помогло повысить вовлеченность. В итоге, я понял, что ключ к удержанию — это не только качественный контент, но и создание атмосферы, где ученики чувствуют себя частью чего-то большего.</t>
        </is>
      </c>
      <c r="K12" s="3" t="inlineStr">
        <is>
          <t>Я всегда стараюсь создать атмосферу доверия и поддержки на своих курсах, чтобы участники чувствовали себя комфортно и могли открыто делиться своими переживаниями. Например, я регулярно провожу опросы и собираю обратную связь, чтобы понять, что именно нужно улучшить или изменить. Также я стараюсь делать занятия интерактивными, включать в них практические задания и обсуждения, чтобы родители могли не только слушать, но и активно участвовать. Я заметила, что когда участники видят, что их мнение важно, они становятся более вовлеченными и заинтересованными в процессе. Кроме того, я делаю акцент на создании сообщества, где родители могут поддерживать друг друга, делиться опытом и находить решения вместе. Это действительно помогает удерживать интерес и мотивацию.</t>
        </is>
      </c>
    </row>
    <row r="13">
      <c r="H13" s="3" t="inlineStr">
        <is>
          <t>Расскажите о ситуации, когда вы решили отказаться от какого-либо инструмента для обучения.</t>
        </is>
      </c>
      <c r="I13" s="3" t="inlineStr">
        <is>
          <t>Однажды я решила отказаться от использования одного популярного приложения для планирования задач, которое активно рекомендовалось многими коучами. Сначала мне казалось, что оно идеально подходит для организации моего рабочего процесса, но со временем я поняла, что оно слишком сложное и перегруженное функциями. Я часто терялась в интерфейсе и тратила больше времени на его освоение, чем на выполнение своих задач. В итоге я вернулась к более простому и интуитивно понятному методу — использованию бумажного планировщика. Это решение дало мне возможность сосредоточиться на своих целях и не отвлекаться на лишние детали. Я поняла, что иногда простота — это ключ к эффективности, и это стало важным уроком для меня как коуча.</t>
        </is>
      </c>
      <c r="J13" s="3" t="inlineStr">
        <is>
          <t>Недавно я столкнулся с ситуацией, когда решил отказаться от одного из онлайн-курсов по SMM, который, казалось, должен был быть полезным. Я потратил несколько недель на изучение материалов, но в какой-то момент понял, что информация была устаревшей и не соответствовала текущим трендам. Это разочаровало меня, потому что я ожидал, что курс даст мне новые идеи и стратегии для работы с клиентами. Я осознал, что лучше инвестировать время в более актуальные источники, такие как блоги и вебинары от признанных экспертов, которые делятся свежими кейсами и практическими советами. В итоге, я решил сосредоточиться на более качественных и современных ресурсах, чтобы не тратить время впустую.</t>
        </is>
      </c>
      <c r="K13" s="3" t="inlineStr">
        <is>
          <t>Однажды я решила отказаться от использования одного из популярных онлайн-курсов по воспитанию детей, который, казалось, имел отличные отзывы. Я потратила много времени на изучение материалов, но в какой-то момент поняла, что они не соответствуют моим ценностям и подходу к воспитанию. Например, курс акцентировал внимание на строгих методах дисциплины, а я всегда верила в важность эмпатии и понимания. Я поняла, что, несмотря на высокую оценку курса, он не подходит для меня и моей аудитории. Это был важный урок о том, что не все, что популярно, действительно полезно, и что важно следовать своим убеждениям в обучении и консультировании.</t>
        </is>
      </c>
    </row>
    <row r="14">
      <c r="H14" s="3" t="inlineStr">
        <is>
          <t>Как вы оценивали эффективность инструментов, которые использовали для управления клиентами?</t>
        </is>
      </c>
      <c r="I14" s="3" t="inlineStr">
        <is>
          <t>Я оцениваю эффективность инструментов для управления клиентами, основываясь на нескольких ключевых аспектах. Во-первых, я обращаю внимание на обратную связь от клиентов — если они чувствуют, что наши сессии приносят им пользу и помогают достигать целей, это для меня главный показатель. Например, я использую опросы после завершения курса, чтобы понять, что именно сработало, а что можно улучшить. 
Во-вторых, я анализирую свои собствен ощущения: если я чувствую, что инструмент помогает мне организовать процесс и сделать его более структурированным, это тоже важный момент. Я стараюсь быть открытой к новым технологиям, хотя иногда это вызывает у меня неуверенность. Но, когда я вижу, что, например, использование определенного приложения для планирования встреч значительно упрощает мою работу, я понимаю, что это действительно эффективно. В конечном итоге, эффективность для меня — это сочетание удовлетворенности клиентов и моего личного комфорта в работе.</t>
        </is>
      </c>
      <c r="J14" s="3" t="inlineStr">
        <is>
          <t>Я оцениваю эффективность инструментов для управления клиентами по нескольким критериям. Во-первых, важно, насколько легко и удобно использовать эти инструменты. Например, я пробовал разные CRM-системы, и для меня критично, чтобы интерфейс был интуитивно понятным. Во-вторых, я смотрю на то, как эти инструменты помогают мне отслеживать взаимодействие с клиентами и анализировать результаты. Если я вижу, что с помощью определенного инструмента мне удается увеличить количество повторных обращений или улучшить качество обслуживания, значит, он работает. Также я обращаю внимание на отзывы клиентов — если они довольны, это для меня важный показатель. В целом, я стараюсь комбинировать разные инструменты и подходы, чтобы найти оптимальное решение для своей работы.</t>
        </is>
      </c>
      <c r="K14" s="3" t="inlineStr">
        <is>
          <t>Я оцениваю эффективность инструментов для управления клиентами, основываясь на нескольких ключевых аспектах. Во-первых, я смотрю на обратную связь от клиентов — если они довольны, это уже хороший знак. Например, когда я начала использовать систему для учета консультаций, заметила, что клиенты стали чаще возвращаться и рекомендовать меня своим знакомым. Во-вторых, я обращаю внимание на то, насколько удобно мне самой работать с этими инструментами. Если я трачу много времени на их освоение или использование, это может негативно сказаться на моем времени, которое я могла бы потратить на общение с клиентами. И, конечно, я анализирую, как эти инструменты помогают мне достигать моих целей, например, увеличивать количество участников на курсах. В целом, для меня важно, чтобы инструменты не только облегчали работу, но и способствовали созданию доверительных отношений с клиентами.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60" customWidth="1" min="3" max="3"/>
    <col width="60" customWidth="1" min="4" max="4"/>
    <col width="60" customWidth="1" min="5" max="5"/>
    <col width="60" customWidth="1" min="6" max="6"/>
    <col width="60" customWidth="1" min="7" max="7"/>
  </cols>
  <sheetData>
    <row r="1">
      <c r="A1" s="1" t="inlineStr">
        <is>
          <t>B2B</t>
        </is>
      </c>
      <c r="B1" s="1" t="inlineStr">
        <is>
          <t>Описание продукта</t>
        </is>
      </c>
      <c r="C1" s="1" t="inlineStr">
        <is>
          <t>Определение ядра ЦА на основе продукта</t>
        </is>
      </c>
      <c r="D1" s="1" t="inlineStr">
        <is>
          <t>Сегментация: 5 компаний, которым полезен продукт</t>
        </is>
      </c>
      <c r="E1" s="1" t="inlineStr">
        <is>
          <t>Выделение ЛПР — компания 1</t>
        </is>
      </c>
      <c r="F1" s="1" t="inlineStr">
        <is>
          <t>Выделение ЛПР — компания 2</t>
        </is>
      </c>
      <c r="G1" s="1" t="inlineStr">
        <is>
          <t>Выделение ЛПР — компания 3</t>
        </is>
      </c>
    </row>
    <row r="2">
      <c r="A2" s="1" t="inlineStr">
        <is>
          <t>Промпт</t>
        </is>
      </c>
      <c r="B2" s="2" t="inlineStr">
        <is>
          <t>Я хочу подробно описать свой продукт
Представь, что ты менеджер продукта SaaS-платформ для онлайн-образования в динамично развивающейся EdTech-компании. Ты обладаешь глубоким пониманием рынка онлайн-курсов, потребностей экспертов и их учеников и современных тенденций. Ты умеешь отлично анализировать и определять ключевые параметры продуктов, чтобы обеспечить их успех и конкурентоспособность. Ты лучше всех проводишь анализ и описание характеристик продукта, включая его тип, функциональность, дизайн, ценообразование, каналы дистрибуции и многое другое.
_
Твоя задача описать мой продукт по определенной структуре:
_
В структуру включи:
Название: Уникальное имя, идентифицирующее продукт.
Описание: Краткое изложение того, что представляет собой продукт.
Целевая аудитория: Группа людей, на которую ориентирован продукт.
Уникальное торговое предложение (УТП): Что отличает продукт от конкурентов (GetCourse, Telegram-боты, связки из таблиц и мессенджеров).
Цели продукта: для чего этот продукт нужен
Функции: Какие функции выполняет продукт
Характеристики: опиши характеристики продукта
Ценовая модель: Как формируется цена (фиксированная, динамическая, по подписке и т.д.)
Строго следуй инструкции. Пиши на русском языке, конкретно и по делу, без воды и общих слов — с привязкой к рынку онлайн-образования и экспертов.
Вот мое базовое описание продукта:</t>
        </is>
      </c>
      <c r="C2" s="2" t="inlineStr">
        <is>
          <t>Я хочу определить Целевую аудиторию для моего продукта.
Представь, что ты опытный консультант по определению целевой аудитории в сфере онлайн-образования и экспертного бизнеса. Ты умело выясняешь демографические характеристики (пол, возраст, местоположение), социально-экономический статус, сферы интересов и деятельности, боли, проблемы и потребности потенциальных клиентов. На основе этой информации ты выделяешь ключевые сегменты аудитории, определяешь наиболее перспективный сегмент как ядерную целевую аудиторию. Твои рекомендации помогают четко сформулировать портрет идеального клиента, понять его ценности, мотивации и поведенческие паттерны. Ты вежлив, тактичен, но при этом задаешь прямые вопросы, чтобы получить исчерпывающую информацию.
Твоя задача: описать целевую аудиторию для моего продукта на основе описания продукта
Напиши описание ядра целевой аудитории, которое должно в себя включать:
1. На каком языке говорит целевая аудитория.
2. Где живет целевая аудитория (страна, регион).
3. Соотношение мужчин и женщин в ЦА, для кого продукт.
4. Средний доход/уровень дохода ЦА (для определения ценовой категории).
5. Чем занимаются люди из ЦА (профессия, сфера деятельности).
6. Основные интересы ЦА.
7. Боли ЦА, которые может закрыть мой продукт.
8. Проблемы ЦА, которые решает мой продукт.
9. Потребности ЦА, которые удовлетворяет мой продукт.
10. Цель, желаемое состояние («точка Б»), к которому стремится ЦА.
Строго следуй инструкции. Пиши на русском языке, конкретно и по делу, без воды и общих слов — с привязкой к рынку онлайн-образования и экспертов.
Описание моего продукта:</t>
        </is>
      </c>
      <c r="D2" s="2">
        <f>CONCATENATE("Теперь, используя полученную информацию о нашем продукте, подробно опиши 5 вариантов компаний, которым могут быть полезны наши услуги или продукты (онлайн-школы, продюсерские центры, экспертные проекты, корпоративные академии и т.п.).
Формат ответа:"&amp;"
### Компания N: название компании
Описание деятельности — опиши подробно, чем занимается компания, минимум 300 символов.
Почему услуги нашей компании будут им полезны — опиши очень подробно, минимум 5 пунктов.
Вводные данные:
Описание нашего продук"&amp;"та: &lt;",B5,"&gt;
Описание ядра ЦА: &lt;",C5,"&gt;
Строго следуй инструкции. Пиши на русском языке, конкретно и по делу, без воды и общих слов — с привязкой к рынку онлайн-образования и экспертов.")</f>
        <v/>
      </c>
      <c r="E2" s="2">
        <f>CONCATENATE("Я хочу получить информацию о лицах, принимающих решения (ЛПР) в определенной компании
Представь, что ты эксперт по анализу бизнес-структур и выявлению ключевых фигур, влияющих на принятие решений о закупках. Ты обладаешь глубоким пониманием иерархии"&amp;", ролей и обязанностей в онлайн-школах и экспертных проектах.
Твоя задача — помочь мне определить 3 варианта ЛПР в компании.
Информация о нашей компании и продукте: &lt;",B5,"&gt;
Описание компании, в которой нужно выделить 3 варианта ЛПР: &lt;",E3,"&gt;
Опиши 3 варианта ЛПР по следующим признакам:
• Имя
• Название должности
• Возраст
• Город
• Описание деятельности должности: подробно опиши обязанности и сферу ответственности (минимум 300 символов).
• Задачи должности
• Ключевая ценность должност"&amp;"и в его работе
• За что этот человек получает деньги
• Его скрытые потребности, исходя из должности
• Типичные фразы этого человека, какими фразами он говорит
• Почему он заинтересован в продуктах или услугах нашей компании: минимум 5 причин.
Твой о"&amp;"твет должен быть таким:
###Описание компании, в которой работают эти ЛПР
*** ЛПР 1 - описание
*** ЛПР 2 - описание
*** ЛПР 3 - описание
Строго следуй инструкции, предоставь исчерпывающую информацию и удели внимание деталям. Пиши на русском.")</f>
        <v/>
      </c>
      <c r="F2" s="2">
        <f>CONCATENATE("Я хочу получить информацию о лицах, принимающих решения (ЛПР) в определенной компании
Представь, что ты эксперт по анализу бизнес-структур и выявлению ключевых фигур, влияющих на принятие решений о закупках. Ты обладаешь глубоким пониманием иерархии"&amp;", ролей и обязанностей в онлайн-школах и экспертных проектах.
Твоя задача — помочь мне определить 3 варианта ЛПР в компании.
Информация о нашей компании и продукте: &lt;",B5,"&gt;
Описание компании, в которой нужно выделить 3 варианта ЛПР: &lt;",F3,"&gt;
Опиши 3 варианта ЛПР по следующим признакам:
• Имя
• Название должности
• Возраст
• Город
• Описание деятельности должности: подробно опиши обязанности и сферу ответственности (минимум 300 символов).
• Задачи должности
• Ключевая ценность должност"&amp;"и в его работе
• За что этот человек получает деньги
• Его скрытые потребности, исходя из должности
• Типичные фразы этого человека, какими фразами он говорит
• Почему он заинтересован в продуктах или услугах нашей компании: минимум 5 причин.
Твой о"&amp;"твет должен быть таким:
###Описание компании, в которой работают эти ЛПР
*** ЛПР 1 - описание
*** ЛПР 2 - описание
*** ЛПР 3 - описание
Строго следуй инструкции, предоставь исчерпывающую информацию и удели внимание деталям. Пиши на русском.")</f>
        <v/>
      </c>
      <c r="G2" s="2">
        <f>CONCATENATE("Я хочу получить информацию о лицах, принимающих решения (ЛПР) в определенной компании
Представь, что ты эксперт по анализу бизнес-структур и выявлению ключевых фигур, влияющих на принятие решений о закупках. Ты обладаешь глубоким пониманием иерархии"&amp;", ролей и обязанностей в онлайн-школах и экспертных проектах.
Твоя задача — помочь мне определить 3 варианта ЛПР в компании.
Информация о нашей компании и продукте: &lt;",B5,"&gt;
Описание компании, в которой нужно выделить 3 варианта ЛПР: &lt;",G3,"&gt;
Опиши 3 варианта ЛПР по следующим признакам:
• Имя
• Название должности
• Возраст
• Город
• Описание деятельности должности: подробно опиши обязанности и сферу ответственности (минимум 300 символов).
• Задачи должности
• Ключевая ценность должност"&amp;"и в его работе
• За что этот человек получает деньги
• Его скрытые потребности, исходя из должности
• Типичные фразы этого человека, какими фразами он говорит
• Почему он заинтересован в продуктах или услугах нашей компании: минимум 5 причин.
Твой о"&amp;"твет должен быть таким:
###Описание компании, в которой работают эти ЛПР
*** ЛПР 1 - описание
*** ЛПР 2 - описание
*** ЛПР 3 - описание
Строго следуй инструкции, предоставь исчерпывающую информацию и удели внимание деталям. Пиши на русском.")</f>
        <v/>
      </c>
    </row>
    <row r="3">
      <c r="A3" s="1" t="inlineStr">
        <is>
          <t>Данные для анализа</t>
        </is>
      </c>
      <c r="B3" s="2" t="inlineStr">
        <is>
          <t>«Тарис» — платформа для экспертов (авторов онлайн-курсов, коучей, консультантов), которая объединяет в одном месте общение с учениками, обучение (уроки, задания, отслеживание прогресса) и ведение клиентов (CRM, оплаты, напоминания) — вместо того чтобы вручную склеивать Telegram, Google-документы и таблицы. Дополнительно продаётся аудит текущих процессов эксперта и внедрение платформы под его задачи. Целевая аудитория — эксперты, которые ведут собственные онлайн-курсы и теряют учеников и деньги из-за хаоса в разрозненных инструментах. Разработчик и продавец — компания Sintaris.</t>
        </is>
      </c>
      <c r="C3" s="2">
        <f>B5</f>
        <v/>
      </c>
      <c r="E3" s="2" t="inlineStr">
        <is>
          <t>### Компания 1: Онлайн-школа "Умные курсы"
Описание деятельности — Онлайн-школа "Умные курсы" предлагает широкий спектр образовательных программ в области личностного роста, бизнеса и технологий. Она привлекает экспертов для создания курсов и предоставляет платформу для их реализации. Школа активно использует различные инструменты для взаимодействия с учениками, включая вебинары, видеоуроки и чаты. Однако, с ростом числа курсов и учеников, "Умные курсы" сталкиваются с проблемами в управлении процессами и удержании клиентов.
Почему услуги нашей компании будут им полезны:
1. **Интеграция всех инструментов**: Тарис объединяет все необходимые функции для ведения курсов, что позволит "Умным курсам" избавиться от разрозненных инструментов и упростить управление.
2. **Увеличение удержания учеников**: С помощью аналитики и отчетов по успеваемости, школа сможет лучше понимать потребности учеников и адаптировать курсы, что повысит их вовлеченность.
3. **Автоматизация процессов**: Встроенная CRM-система позволит автоматизировать напоминания и обработку оплат, что сэкономит время и ресурсы.
4. **Интерактивные уроки**: Возможность создания интерактивных заданий и отслеживания прогресса учеников поможет улучшить качество обучения.
5. **Кастомизация платформы**: "Умные курсы" смогут адаптировать Тарис под свои уникальные потребности, что повысит эффективность работы.</t>
        </is>
      </c>
      <c r="F3" s="2" t="inlineStr">
        <is>
          <t>### Компания 2: Продюсерский центр "Креативные идеи"
Описание деятельности — Продюсерский центр "Креативные идеи" занимается разработкой и реализацией образовательных проектов, включая онлайн-курсы и тренинги. Центр работает с различными экспертами и коучами, помогая им создать качественный контент и привлечь аудиторию. Однако, с увеличением числа проектов, продюсерский центр сталкивается с трудностями в управлении клиентами и процессами.
Почему услуги нашей компании будут им полезны:
1. **Единая платформа для управления**: Тарис позволит "Креативным идеям" управлять всеми проектами из одного места, что упростит организацию работы.
2. **Аналитика и отчеты**: Возможность отслеживания успеваемости и вовлеченности учеников поможет продюсерскому центру оценивать эффективность курсов и вносить изменения.
3. **Упрощение взаимодействия с клиентами**: Инструменты для общения с учениками, такие как чаты и форумы, улучшат коммуникацию и повысит удовлетворенность клиентов.
4. **Автоматизация финансовых процессов**: Встроенная CRM-система упростит обработку оплат и управление финансовыми потоками.
5. **Поддержка нескольких языков**: Это позволит продюсерскому центру выходить на международные рынки и расширять аудиторию.</t>
        </is>
      </c>
      <c r="G3" s="2" t="inlineStr">
        <is>
          <t>### Компания 3: Корпоративная академия "Бизнес-Успех"
Описание деятельности — Корпоративная академия "Бизнес-Успех" предлагает обучение для сотрудников компаний в области управления, продаж и личностного роста. Академия разрабатывает курсы, адаптированные под нужды бизнеса, и проводит тренинги. Однако, с увеличением числа обучаемых, академия сталкивается с проблемами в управлении учебным процессом и взаимодействии с участниками.
Почему услуги нашей компании будут им полезны:
1. **Оптимизация учебного процесса**: Тарис упростит организацию курсов и взаимодействие с участниками, что повысит эффективность обучения.
2. **Аналитика по успеваемости**: Академия сможет отслеживать прогресс сотрудников и адаптировать курсы под их потребности, что повысит результативность обучения.
3. **Инструменты для общения**: Чаты и форумы позволят участникам обмениваться опытом и задавать вопросы, что улучшит взаимодействие.
4. **Автоматизация управления клиентами**: Встроенная CRM-система упростит обработку заявок и управление финансами, что сэкономит время.
5. **Кастомизация платформы**: Академия сможет адаптировать Тарис под свои уникальные потребности, что повысит качество обучения.</t>
        </is>
      </c>
    </row>
    <row r="4">
      <c r="A4" s="1" t="inlineStr">
        <is>
          <t>Формула GPT</t>
        </is>
      </c>
      <c r="B4" s="2" t="inlineStr">
        <is>
          <t>Формула: =GPT(B2;B3)</t>
        </is>
      </c>
      <c r="C4" s="2" t="inlineStr">
        <is>
          <t>Формула: =GPT(C2;C3)</t>
        </is>
      </c>
      <c r="D4" s="2" t="inlineStr">
        <is>
          <t>Формула: =GPT(D2)</t>
        </is>
      </c>
      <c r="E4" s="2" t="inlineStr">
        <is>
          <t>Формула: =GPT(E2)</t>
        </is>
      </c>
      <c r="F4" s="2" t="inlineStr">
        <is>
          <t>Формула: =GPT(F2)</t>
        </is>
      </c>
      <c r="G4" s="2" t="inlineStr">
        <is>
          <t>Формула: =GPT(G2)</t>
        </is>
      </c>
    </row>
    <row r="5">
      <c r="A5" s="1" t="inlineStr">
        <is>
          <t>Результат</t>
        </is>
      </c>
      <c r="B5" s="3" t="inlineStr">
        <is>
          <t>### Название:
Тарис
### Описание:
Тарис — это интегрированная SaaS-платформа для экспертов в области онлайн-образования, которая объединяет все необходимые инструменты для эффективного взаимодействия с учениками, организации учебного процесса и управления клиентами. Платформа позволяет избежать хаоса, связанного с использованием разрозненных инструментов, таких как Telegram, Google-документы и таблицы.
### Целевая аудитория:
Целевая аудитория Тарис — это эксперты, авторы онлайн-курсов, коучи и консультанты, которые стремятся оптимизировать свои процессы обучения и управления клиентами. Это люди, которые уже ведут собственные курсы, но сталкиваются с проблемами в организации и удержании учеников из-за использования множества разрозненных инструментов.
### Уникальное торговое предложение (УТП):
Тарис предлагает уникальное решение, которое объединяет в одном месте все необходимые функции для ведения онлайн-курсов и управления клиентами. В отличие от конкурентов, таких как GetCourse и Telegram-боты, Тарис предоставляет комплексный подход, который включает в себя не только обучение и общение, но и CRM-систему, что позволяет экспертам сосредоточиться на контенте, а не на управлении инструментами.
### Цели продукта:
- Упрощение процесса обучения и взаимодействия с учениками.
- Оптимизация управления клиентами и финансовыми потоками.
- Увеличение удержания учеников и доходов экспертов за счет более эффективного управления процессами.
- Предоставление экспертам возможности сосредоточиться на создании качественного контента, а не на технических аспектах.
### Функции:
- Интерактивные уроки и задания с возможностью отслеживания прогресса учеников.
- Встроенная CRM-система для управления клиентами, включая автоматизацию напоминаний и обработки оплат.
- Инструменты для общения с учениками (чаты, форумы, уведомления).
- Аналитика и отчеты по успеваемости и вовлеченности учеников.
- Возможность кастомизации платформы под индивидуальные задачи экспертов.
### Характеристики:
- Интуитивно понятный интерфейс, который не требует технических навыков для использования.
- Мобильная версия для доступа к курсам и общению с учениками на любых устройствах.
- Высокая степень безопасности данных и конфиденциальности пользователей.
- Интеграция с популярными платежными системами и инструментами для маркетинга.
- Поддержка нескольких языков для работы на международных рынках.
### Ценовая модель:
Ценовая модель Тарис основана на подписке, что позволяет пользователям выбирать подходящий тариф в зависимости от их потребностей и объема использования. Также предусмотрены дополнительные услуги, такие как аудит текущих процессов и внедрение платформы, которые могут быть оплачены отдельно. Это обеспечивает гибкость и доступность для экспертов с различными бюджетами.</t>
        </is>
      </c>
      <c r="C5" s="3" t="inlineStr">
        <is>
          <t>### Описание ядра целевой аудитории для продукта "Тарис"
1. **На каком языке говорит целевая аудитория**: 
   - Русский язык (основной), также возможны пользователи, говорящие на английском, испанском и других языках, в зависимости от целевых рынков.
2. **Где живет целевая аудитория (страна, регион)**: 
   - Россия, страны СНГ (Украина, Беларусь, Казахстан), а также страны с русскоязычным населением (Израиль, Германия, США). Возможен выход на международные рынки с англоязычной аудиторией.
3. **Соотношение мужчин и женщин в ЦА, для кого продукт**: 
   - Продукт ориентирован как на мужчин, так и на женщин, с небольшим преобладанием женщин (60% женщин, 40% мужчин), так как большинство экспертов в области онлайн-образования — это женщины.
4. **Средний доход/уровень дохода ЦА (для определения ценовой категории)**: 
   - Средний доход целевой аудитории составляет от 50,000 до 150,000 рублей в месяц (или эквивалент в других валютах), что позволяет им инвестировать в инструменты для оптимизации бизнеса.
5. **Чем занимаются люди из ЦА (профессия, сфера деятельности)**: 
   - Эксперты в области онлайн-образования, авторы онлайн-курсов, коучи, консультанты, тренеры, фрилансеры, работающие в сфере личностного роста, бизнеса, здоровья и других областях.
6. **Основные интересы ЦА**: 
   - Образование, личностное развитие, технологии, маркетинг, психология, управление временем, создание контента, работа с клиентами, автоматизация процессов.
7. **Боли ЦА, которые может закрыть мой продукт**: 
   - Хаос в управлении учебным процессом, сложности в удержании учеников, необходимость использования множества разрозненных инструментов, недостаток времени на создание контента из-за управления процессами.
8. **Проблемы ЦА, которые решает мой продукт**: 
   - Оптимизация процессов обучения и управления клиентами, упрощение взаимодействия с учениками, автоматизация рутинных задач, повышение вовлеченности и удержания учеников.
9. **Потребности ЦА, которые удовлетворяет мой продукт**: 
   - Необходимость в едином инструменте для управления курсами и клиентами, желание сосредоточиться на создании качественного контента, потребность в аналитике и отчетности по успеваемости учеников.
10. **Цель, желаемое состояние («точка Б»), к которому стремится ЦА**: 
    - Достичь стабильного и прибыльного бизнеса в сфере онлайн-образования, повысить уровень вовлеченности и удовлетворенности учеников, освободить время для творчества и развития, а также увеличить доходы за счет эффективного управления процессами.
### Заключение
Понимание этих характеристик целевой аудитории поможет вам более точно настраивать маркетинговые стратегии, разрабатывать контент и предлагать решения, которые будут наиболее актуальны и востребованы среди ваших клиентов.</t>
        </is>
      </c>
      <c r="D5" s="3" t="inlineStr">
        <is>
          <t>### Компания 1: Онлайн-школа "Умные курсы"
Описание деятельности — Онлайн-школа "Умные курсы" предлагает широкий спектр образовательных программ в области личностного роста, бизнеса и технологий. Она привлекает экспертов для создания курсов и предоставляет платформу для их реализации. Школа активно использует различные инструменты для взаимодействия с учениками, включая вебинары, видеоуроки и чаты. Однако, с ростом числа курсов и учеников, "Умные курсы" сталкиваются с проблемами в управлении процессами и удержании клиентов.
Почему услуги нашей компании будут им полезны:
1. **Интеграция всех инструментов**: Тарис объединяет все необходимые функции для ведения курсов, что позволит "Умным курсам" избавиться от разрозненных инструментов и упростить управление.
2. **Увеличение удержания учеников**: С помощью аналитики и отчетов по успеваемости, школа сможет лучше понимать потребности учеников и адаптировать курсы, что повысит их вовлеченность.
3. **Автоматизация процессов**: Встроенная CRM-система позволит автоматизировать напоминания и обработку оплат, что сэкономит время и ресурсы.
4. **Интерактивные уроки**: Возможность создания интерактивных заданий и отслеживания прогресса учеников поможет улучшить качество обучения.
5. **Кастомизация платформы**: "Умные курсы" смогут адаптировать Тарис под свои уникальные потребности, что повысит эффективность работы.
### Компания 2: Продюсерский центр "Креативные идеи"
Описание деятельности — Продюсерский центр "Креативные идеи" занимается разработкой и реализацией образовательных проектов, включая онлайн-курсы и тренинги. Центр работает с различными экспертами и коучами, помогая им создать качественный контент и привлечь аудиторию. Однако, с увеличением числа проектов, продюсерский центр сталкивается с трудностями в управлении клиентами и процессами.
Почему услуги нашей компании будут им полезны:
1. **Единая платформа для управления**: Тарис позволит "Креативным идеям" управлять всеми проектами из одного места, что упростит организацию работы.
2. **Аналитика и отчеты**: Возможность отслеживания успеваемости и вовлеченности учеников поможет продюсерскому центру оценивать эффективность курсов и вносить изменения.
3. **Упрощение взаимодействия с клиентами**: Инструменты для общения с учениками, такие как чаты и форумы, улучшат коммуникацию и повысит удовлетворенность клиентов.
4. **Автоматизация финансовых процессов**: Встроенная CRM-система упростит обработку оплат и управление финансовыми потоками.
5. **Поддержка нескольких языков**: Это позволит продюсерскому центру выходить на международные рынки и расширять аудиторию.
### Компания 3: Корпоративная академия "Бизнес-Успех"
Описание деятельности — Корпоративная академия "Бизнес-Успех" предлагает обучение для сотрудников компаний в области управления, продаж и личностного роста. Академия разрабатывает курсы, адаптированные под нужды бизнеса, и проводит тренинги. Однако, с увеличением числа обучаемых, академия сталкивается с проблемами в управлении учебным процессом и взаимодействии с участниками.
Почему услуги нашей компании будут им полезны:
1. **Оптимизация учебного процесса**: Тарис упростит организацию курсов и взаимодействие с участниками, что повысит эффективность обучения.
2. **Аналитика по успеваемости**: Академия сможет отслеживать прогресс сотрудников и адаптировать курсы под их потребности, что повысит результативность обучения.
3. **Инструменты для общения**: Чаты и форумы позволят участникам обмениваться опытом и задавать вопросы, что улучшит взаимодействие.
4. **Автоматизация управления клиентами**: Встроенная CRM-система упростит обработку заявок и управление финансами, что сэкономит время.
5. **Кастомизация платформы**: Академия сможет адаптировать Тарис под свои уникальные потребности, что повысит качество обучения.
### Компания 4: Экспертный проект "Знания для жизни"
Описание деятельности — Экспертный проект "Знания для жизни" предлагает курсы по личностному развитию, психологии и здоровью. Проект работает с различными экспертами и коучами, создавая уникальный контент. Однако, с ростом числа курсов и учеников, проект сталкивается с проблемами в управлении процессами и удержании клиентов.
Почему услуги нашей компании будут им полезны:
1. **Интеграция всех инструментов**: Тарис объединяет все необходимые функции для ведения курсов, что упростит управление проектом.
2. **Увеличение удержания учеников**: С помощью аналитики и отчетов по успеваемости, проект сможет лучше понимать потребности учеников и адаптировать курсы.
3. **Автоматизация процессов**: Встроенная CRM-система позволит автоматизировать напоминания и обработку оплат, что сэкономит время.
4. **Интерактивные уроки**: Возможность создания интерактивных заданий и отслеживания прогресса учеников поможет улучшить качество обучения.
5. **Кастомизация платформы**: Проект сможет адаптировать Тарис под свои уникальные потребности, что повысит эффективность работы.
### Компания 5: Онлайн-академия "Технологии будущего"
Описание деятельности — Онлайн-академия "Технологии будущего" предлагает курсы по программированию, дизайну и новым технологиям. Академия активно сотрудничает с экспертами и создает актуальный контент. Однако, с увеличением числа курсов и учеников, академия сталкивается с проблемами в управлении процессами и взаимодействии с учениками.
Почему услуги нашей компании будут им полезны:
1. **Оптимизация учебного процесса**: Тарис упростит организацию курсов и взаимодействие с учениками, что повысит эффективность обучения.
2. **Аналитика по успеваемости**: Академия сможет отслеживать прогресс учеников и адаптировать курсы под их потребности, что повысит результативность обучения.
3. **Инструменты для общения**: Чаты и форумы позволят ученикам обмениваться опытом и задавать вопросы, что улучшит взаимодействие.
4. **Автоматизация управления клиентами**: Встроенная CRM-система упростит обработку заявок и управление финансами, что сэкономит время.
5. **Поддержка нескольких языков**: Это позволит академии выходить на международные рынки и расширять аудиторию.</t>
        </is>
      </c>
      <c r="E5" s="3" t="inlineStr">
        <is>
          <t>### Описание компании, в которой работают эти ЛПР
Онлайн-школа "Умные курсы" предлагает широкий спектр образовательных программ в области личностного роста, бизнеса и технологий. Школа активно использует различные инструменты для взаимодействия с учениками, включая вебинары, видеоуроки и чаты. С ростом числа курсов и учеников "Умные курсы" сталкиваются с проблемами в управлении процессами и удержании клиентов, что делает интеграция всех необходимых инструментов особенно актуальной.
*** ЛПР 1 - Анна Смирнова
- **Имя:** Анна Смирнова
- **Название должности:** Директор по развитию
- **Возраст:** 35 лет
- **Город:** Москва
- **Описание деятельности должности:** Анна отвечает за стратегическое развитие онлайн-школы, включая создание новых образовательных программ и привлечение экспертов. Она анализирует рынок, выявляет потребности целевой аудитории и разрабатывает стратегии для увеличения числа учеников. В её обязанности входит координация работы команды, взаимодействие с преподавателями и контроль качества курсов. Анна также занимается поиском и внедрением новых технологий, которые могут улучшить образовательный процесс и повысить эффективность работы школы.
- **Задачи должности:** Разработка новых курсов, анализ рынка, привлечение экспертов, координация работы команды, внедрение новых технологий.
- **Ключевая ценность должности в его работе:** Анна обеспечивает рост и развитие школы, что напрямую влияет на её прибыль и репутацию.
- **За что этот человек получает деньги:** Анна получает зарплату за успешное развитие бизнеса, привлечение новых учеников и экспертов, а также за внедрение эффективных решений.
- **Её скрытые потребности, исходя из должности:** Анна стремится к профессиональному росту, хочет быть в курсе новых технологий и методов обучения, а также ищет способы оптимизации процессов для повышения эффективности работы.
- **Типичные фразы этого человека:** "Нам нужно адаптироваться к изменениям на рынке", "Как мы можем улучшить взаимодействие с учениками?", "Давайте внедрим новые технологии для повышения качества курсов".
- **Почему она заинтересована в продуктах или услугах нашей компании:** 
  1. Интеграция всех инструментов в одном месте упростит управление процессами.
  2. Возможность анализа успеваемости учеников поможет адаптировать курсы под их потребности.
  3. Автоматизация процессов с помощью CRM-системы сэкономит время и ресурсы.
  4. Интерактивные уроки повысят вовлеченность учеников.
  5. Кастомизация платформы позволит адаптировать её под уникальные потребности школы.
*** ЛПР 2 - Сергей Иванов
- **Имя:** Сергей Иванов
- **Название должности:** Менеджер по продукту
- **Возраст:** 30 лет
- **Город:** Санкт-Петербург
- **Описание деятельности должности:** Сергей отвечает за разработку и внедрение образовательных продуктов в онлайн-школе. Он анализирует потребности учеников и экспертов, разрабатывает концепции новых курсов и следит за их реализацией. Сергей взаимодействует с преподавателями, чтобы обеспечить высокое качество контента, а также проводит тестирование и анализирует отзывы учеников. Его задача — создать конкурентоспособные продукты, которые будут востребованы на рынке.
- **Задачи должности:** Разработка концепций курсов, взаимодействие с преподавателями, анализ потребностей целевой аудитории, тестирование продуктов, сбор и анализ отзывов.
- **Ключевая ценность должности в его работе:** Сергей обеспечивает создание качественных и востребованных образовательных продуктов, что влияет на успех школы.
- **За что этот человек получает деньги:** Сергей получает зарплату за успешную разработку и внедрение новых курсов, а также за анализ и улучшение существующих продуктов.
- **Его скрытые потребности, исходя из должности:** Сергей хочет быть в курсе новых образовательных трендов, стремится к профессиональному развитию и ищет способы улучшения качества курсов.
- **Типичные фразы этого человека:** "Как мы можем сделать наш курс более привлекательным?", "Нужно учитывать отзывы учеников при разработке новых программ", "Давайте протестируем новый формат уроков".
- **Почему он заинтересован в продуктах или услугах нашей компании:** 
  1. Интерактивные функции платформы помогут создать более engaging курсы.
  2. Аналитика позволит лучше понимать потребности учеников и адаптировать контент.
  3. Интеграция всех инструментов упростит процесс разработки и управления курсами.
  4. Возможность кастомизации платформы под уникальные задачи.
  5. Автоматизация процессов сэкономит время на рутинные задачи.
*** ЛПР 3 - Ольга Петрова
- **Имя:** Ольга Петрова
- **Название должности:** Специалист по маркетингу
- **Возраст:** 28 лет
- **Город:** Екатеринбург
- **Описание деятельности должности:** Ольга отвечает за продвижение онлайн-школы и её курсов. Она разрабатывает маркетинговые стратегии, проводит рекламные кампании и анализирует их эффективность. Ольга взаимодействует с командой по контенту для создания привлекательных материалов и следит за трендами в области онлайн-образования. Её задача — привлечение новых учеников и удержание существующих, что напрямую влияет на доходы школы.
- **Задачи должности:** Разработка маркетинговых стратегий, проведение рекламных кампаний, анализ эффективности, создание контента, взаимодействие с командой.
- **Ключевая ценность должности в его работе:** Ольга обеспечивает приток новых учеников и поддерживает интерес к курсам, что критически важно для финансового успеха школы.
- **За что этот человек получает деньги:** Ольга получает зарплату за успешное продвижение курсов и привлечение новых клиентов.
- **Её скрытые потребности, исходя из должности:** Ольга хочет быть в курсе новых маркетинговых трендов, стремится к креативности в своей работе и ищет эффективные инструменты для анализа.
- **Типичные фразы этого человека:** "Нам нужно выделиться на фоне конкурентов", "Как мы можем привлечь больше учеников?", "Давайте протестируем новую рекламную стратегию".
- **Почему она заинтересована в продуктах или услугах нашей компании:** 
  1. Интеграция всех инструментов упростит маркетинговые процессы.
  2. Аналитика платформы поможет лучше понимать поведение учеников.
  3. Возможность создания интерактивного контента повысит интерес к курсам.
  4. Автоматизация процессов сэкономит время на рутинные задачи.
  5. Кастомизация платформы позволит адаптировать её под маркетинговые стратегии.</t>
        </is>
      </c>
      <c r="F5" s="3" t="inlineStr">
        <is>
          <t>### Описание компании, в которой работают эти ЛПР
Продюсерский центр "Креативные идеи" занимается разработкой и реализацией образовательных проектов, включая онлайн-курсы и тренинги. Центр работает с различными экспертами и коучами, помогая им создать качественный контент и привлечь аудиторию. С увеличением числа проектов, продюсерский центр сталкивается с трудностями в управлении клиентами и процессами, что делает внедрение интегрированной платформы, такой как Тарис, особенно актуальным.
*** ЛПР 1 - Описание
- **Имя:** Анна Смирнова
- **Название должности:** Директор по развитию
- **Возраст:** 35 лет
- **Город:** Москва
- **Описание деятельности должности:** Анна отвечает за стратегическое развитие продюсерского центра, включая поиск новых направлений для проектов и партнерств. Она координирует работу команды, анализирует рынок образовательных услуг и разрабатывает новые курсы. В ее обязанности входит взаимодействие с экспертами и коучами, а также управление проектами от идеи до реализации. Анна также следит за финансовыми показателями и эффективностью курсов, что требует от нее глубокого понимания как образовательного процесса, так и бизнес-стратегий.
- **Задачи должности:** Разработка новых образовательных программ, анализ рынка, взаимодействие с экспертами, управление проектами, контроль финансовых показателей.
- **Ключевая ценность должности в его работе:** Анна обеспечивает рост и развитие компании, что напрямую влияет на ее прибыль и репутацию на рынке.
- **За что этот человек получает деньги:** За успешное развитие бизнеса, привлечение новых клиентов и экспертов, а также за управление проектами и их финансовую эффективность.
- **Его скрытые потребности:** Анна стремится к оптимизации процессов, улучшению качества курсов и повышению удовлетворенности клиентов. Она также ищет способы упростить управление проектами и снизить нагрузку на команду.
- **Типичные фразы этого человека:** "Нам нужно оптимизировать процессы", "Как мы можем улучшить взаимодействие с клиентами?", "Давайте проанализируем результаты наших курсов".
- **Почему он заинтересован в продуктах или услугах нашей компании:** 
  1. Единая платформа для управления проектами.
  2. Возможность отслеживания успеваемости и вовлеченности учеников.
  3. Инструменты для улучшения коммуникации с клиентами.
  4. Автоматизация финансовых процессов.
  5. Поддержка нескольких языков для выхода на международные рынки.
*** ЛПР 2 - Описание
- **Имя:** Сергей Иванов
- **Название должности:** Продюсер образовательных проектов
- **Возраст:** 30 лет
- **Город:** Санкт-Петербург
- **Описание деятельности должности:** Сергей отвечает за создание и реализацию образовательных курсов. Он работает с экспертами, помогает им структурировать контент и разрабатывать учебные материалы. В его обязанности входит планирование и координация всех этапов разработки курсов, включая маркетинг и продвижение. Сергей также анализирует отзывы учеников и вносит изменения в курсы на основе полученных данных, что требует от него хороших аналитических навыков и креативного подхода.
- **Задачи должности:** Создание курсов, работа с экспертами, анализ отзывов, координация маркетинга, улучшение контента.
- **Ключевая ценность должности в его работе:** Сергей обеспечивает высокое качество образовательных продуктов, что влияет на репутацию компании и удовлетворенность клиентов.
- **За что этот человек получает деньги:** За успешную реализацию образовательных проектов, привлечение новых клиентов и улучшение качества курсов.
- **Его скрытые потребности:** Сергей хочет упростить процесс разработки курсов, улучшить взаимодействие с экспертами и повысить качество контента.
- **Типичные фразы этого человека:** "Как мы можем сделать курс более интерактивным?", "Нужно учесть отзывы учеников", "Давайте добавим больше практических заданий".
- **Почему он заинтересован в продуктах или услугах нашей компании:** 
  1. Инструменты для создания интерактивных уроков.
  2. Возможность отслеживания прогресса учеников.
  3. Упрощение взаимодействия с клиентами через встроенные чаты.
  4. Аналитика для улучшения курсов.
  5. Интеграция с платежными системами для упрощения финансовых процессов.
*** ЛПР 3 - Описание
- **Имя:** Ольга Петрова
- **Название должности:** Менеджер по работе с клиентами
- **Возраст:** 28 лет
- **Город:** Екатеринбург
- **Описание деятельности должности:** Ольга отвечает за взаимодействие с клиентами продюсерского центра. Она помогает клиентам в процессе обучения, отвечает на их вопросы и решает возникающие проблемы. В ее обязанности входит сбор обратной связи от учеников и передача этой информации команде для улучшения курсов. Ольга также занимается организацией вебинаров и онлайн-встреч с клиентами, что требует от нее отличных коммуникативных навыков и способности к организации.
- **Задачи должности:** Взаимодействие с клиентами, сбор обратной связи, организация вебинаров, решение проблем клиентов.
- **Ключевая ценность должности в его работе:** Ольга обеспечивает высокий уровень удовлетворенности клиентов, что влияет на удержание и привлечение новых учеников.
- **За что этот человек получает деньги:** За успешное взаимодействие с клиентами, решение их проблем и повышение уровня удовлетворенности.
- **Его скрытые потребности:** Ольга хочет иметь доступ к инструментам, которые упростят ее работу и позволят быстрее решать проблемы клиентов.
- **Типичные фразы этого человека:** "Как я могу помочь вам?", "Давайте обсудим ваши вопросы на вебинаре", "Ваши отзывы очень важны для нас".
- **Почему он заинтересован в продуктах или услугах нашей компании:** 
  1. Инструменты для улучшения коммуникации с клиентами.
  2. Возможность отслеживания успеваемости учеников для более точного ответа на их вопросы.
  3. Упрощение организации вебинаров и встреч.
  4. Автоматизация процессов для снижения нагрузки.
  5. Интеграция с CRM для более эффективного управления клиентами.</t>
        </is>
      </c>
      <c r="G5" s="3" t="inlineStr">
        <is>
          <t>### Описание компании, в которой работают эти ЛПР
Корпоративная академия "Бизнес-Успех" предлагает обучение для сотрудников компаний в области управления, продаж и личностного роста. Академия разрабатывает курсы, адаптированные под нужды бизнеса, и проводит тренинги. С увеличением числа обучаемых, академия сталкивается с проблемами в управлении учебным процессом и взаимодействии с участниками.
*** ЛПР 1 - Анна Смирнова
- **Имя**: Анна
- **Название должности**: Директор по обучению и развитию
- **Возраст**: 38 лет
- **Город**: Москва
- **Описание деятельности должности**: Анна отвечает за стратегическое планирование и реализацию программ обучения для сотрудников. Она разрабатывает учебные планы, координирует работу тренеров и следит за качеством образовательного процесса. В её обязанности входит анализ потребностей бизнеса в обучении, оценка эффективности курсов и внедрение новых технологий в обучение. Анна также взаимодействует с руководством компании для определения приоритетов в обучении и развития сотрудников.
- **Задачи должности**: Определение потребностей в обучении, разработка и внедрение учебных программ, оценка эффективности обучения, управление командой тренеров, взаимодействие с внешними партнерами.
- **Ключевая ценность должности в его работе**: Анна обеспечивает соответствие образовательных программ стратегическим целям компании, что способствует повышению квалификации сотрудников и улучшению их производительности.
- **За что этот человек получает деньги**: Анна получает зарплату за успешное управление процессами обучения, повышение квалификации сотрудников и достижение результатов в развитии персонала.
- **Её скрытые потребности**: Анна стремится к внедрению инновационных решений в обучение, хочет упростить процессы и повысить вовлеченность сотрудников в обучение.
- **Типичные фразы этого человека**: "Нам нужно адаптировать курсы под реальные потребности бизнеса", "Как мы можем улучшить взаимодействие между участниками?", "Важно отслеживать прогресс сотрудников".
- **Почему она заинтересована в продуктах или услугах нашей компании**: 
  1. Упрощение управления учебным процессом.
  2. Возможность отслеживания успеваемости сотрудников.
  3. Инструменты для улучшения взаимодействия между участниками.
  4. Автоматизация процессов управления клиентами.
  5. Кастомизация платформы под уникальные потребности академии.
*** ЛПР 2 - Сергей Иванов
- **Имя**: Сергей
- **Название должности**: Менеджер по обучению
- **Возраст**: 30 лет
- **Город**: Санкт-Петербург
- **Описание деятельности должности**: Сергей отвечает за организацию и проведение тренингов и курсов для сотрудников. Он разрабатывает учебные материалы, координирует работу тренеров и следит за качеством обучения. В его обязанности входит взаимодействие с участниками курсов, сбор обратной связи и анализ результатов обучения. Сергей также занимается организацией мероприятий и семинаров, направленных на развитие навыков сотрудников.
- **Задачи должности**: Подготовка учебных материалов, организация тренингов, сбор и анализ обратной связи, взаимодействие с участниками, координация работы тренеров.
- **Ключевая ценность должности в его работе**: Сергей обеспечивает высокое качество обучения и удовлетворенность участников, что способствует повышению их мотивации и вовлеченности.
- **За что этот человек получает деньги**: Сергей получает зарплату за успешную организацию и проведение обучающих мероприятий, а также за достижение высоких результатов в обучении сотрудников.
- **Его скрытые потребности**: Сергей хочет иметь доступ к современным инструментам для упрощения своей работы и повышения эффективности обучения.
- **Типичные фразы этого человека**: "Как мы можем сделать обучение более интерактивным?", "Нужно собрать обратную связь от участников", "Важно, чтобы тренеры были вовлечены в процесс".
- **Почему он заинтересован в продуктах или услугах нашей компании**: 
  1. Интерактивные инструменты для обучения.
  2. Возможность отслеживания прогресса участников.
  3. Упрощение организации курсов и тренингов.
  4. Инструменты для сбора обратной связи.
  5. Автоматизация процессов взаимодействия с участниками.
*** ЛПР 3 - Ольга Петрова
- **Имя**: Ольга
- **Название должности**: Специалист по контенту и методологии
- **Возраст**: 35 лет
- **Город**: Екатеринбург
- **Описание деятельности должности**: Ольга отвечает за разработку учебных материалов и методических рекомендаций для курсов. Она анализирует потребности целевой аудитории, разрабатывает контент и следит за его актуальностью. В её обязанности входит также обучение тренеров и консультирование по вопросам методологии. Ольга активно участвует в создании новых курсов и адаптации существующих под нужды бизнеса.
- **Задачи должности**: Разработка учебных материалов, анализ потребностей целевой аудитории, обучение тренеров, консультирование по методологии, участие в создании новых курсов.
- **Ключевая ценность должности в его работе**: Ольга обеспечивает высокое качество контента и его соответствие потребностям обучающихся, что способствует успешному обучению и развитию сотрудников.
- **За что этот человек получает деньги**: Ольга получает зарплату за разработку качественного контента и методических материалов, а также за успешное обучение тренеров.
- **Её скрытые потребности**: Ольга хочет иметь доступ к современным инструментам для создания и распространения контента, а также к аналитике по успеваемости обучающихся.
- **Типичные фразы этого человека**: "Контент должен быть актуальным и интересным", "Как мы можем улучшить методику обучения?", "Важно учитывать потребности обучающихся".
- **Почему она заинтересована в продуктах или услугах нашей компании**: 
  1. Инструменты для создания интерактивного контента.
  2. Возможность отслеживания успеваемости обучающихся.
  3. Упрощение процесса разработки и распространения учебных материалов.
  4. Аналитика по вовлеченности и успеваемости.
  5. Кастомизация платформы под уникальные методические подходы.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45" customWidth="1" min="3" max="3"/>
    <col width="45" customWidth="1" min="4" max="4"/>
    <col width="40" customWidth="1" min="5" max="5"/>
    <col width="60" customWidth="1" min="6" max="6"/>
    <col width="30" customWidth="1" min="7" max="7"/>
    <col width="30" customWidth="1" min="8" max="8"/>
    <col width="22" customWidth="1" min="9" max="9"/>
    <col width="40" customWidth="1" min="10" max="10"/>
    <col width="60" customWidth="1" min="11" max="11"/>
  </cols>
  <sheetData>
    <row r="1">
      <c r="A1" s="1" t="inlineStr">
        <is>
          <t>Продукт</t>
        </is>
      </c>
      <c r="B1" s="2">
        <f>'Определение ЛПР'!B5</f>
        <v/>
      </c>
    </row>
    <row r="2">
      <c r="A2" s="1" t="inlineStr">
        <is>
          <t>ЛПР</t>
        </is>
      </c>
      <c r="B2" s="2" t="inlineStr">
        <is>
          <t>Компания:
### Компания 1: Онлайн-школа "Умные курсы"
Описание деятельности — Онлайн-школа "Умные курсы" предлагает широкий спектр образовательных программ в области личностного роста, бизнеса и технологий. Она привлекает экспертов для создания курсов и предоставляет платформу для их реализации. Школа активно использует различные инструменты для взаимодействия с учениками, включая вебинары, видеоуроки и чаты. Однако, с ростом числа курсов и учеников, "Умные курсы" сталкиваются с проблемами в управлении процессами и удержании клиентов.
Почему услуги нашей компании будут им полезны:
1. **Интеграция всех инструментов**: Тарис объединяет все необходимые функции для ведения курсов, что позволит "Умным курсам" избавиться от разрозненных инструментов и упростить управление.
2. **Увеличение удержания учеников**: С помощью аналитики и отчетов по успеваемости, школа сможет лучше понимать потребности учеников и адаптировать курсы, что повысит их вовлеченность.
3. **Автоматизация процессов**: Встроенная CRM-система позволит автоматизировать напоминания и обработку оплат, что сэкономит время и ресурсы.
4. **Интерактивные уроки**: Возможность создания интерактивных заданий и отслеживания прогресса учеников поможет улучшить качество обучения.
5. **Кастомизация платформы**: "Умные курсы" смогут адаптировать Тарис под свои уникальные потребности, что повысит эффективность работы.
ЛПР:
*** ЛПР 1 - Анна Смирнова
- **Имя:** Анна Смирнова
- **Название должности:** Директор по развитию
- **Возраст:** 35 лет
- **Город:** Москва
- **Описание деятельности должности:** Анна отвечает за стратегическое развитие онлайн-школы, включая создание новых образовательных программ и привлечение экспертов. Она анализирует рынок, выявляет потребности целевой аудитории и разрабатывает стратегии для увеличения числа учеников. В её обязанности входит координация работы команды, взаимодействие с преподавателями и контроль качества курсов. Анна также занимается поиском и внедрением новых технологий, которые могут улучшить образовательный процесс и повысить эффективность работы школы.
- **Задачи должности:** Разработка новых курсов, анализ рынка, привлечение экспертов, координация работы команды, внедрение новых технологий.
- **Ключевая ценность должности в его работе:** Анна обеспечивает рост и развитие школы, что напрямую влияет на её прибыль и репутацию.
- **За что этот человек получает деньги:** Анна получает зарплату за успешное развитие бизнеса, привлечение новых учеников и экспертов, а также за внедрение эффективных решений.
- **Её скрытые потребности, исходя из должности:** Анна стремится к профессиональному росту, хочет быть в курсе новых технологий и методов обучения, а также ищет способы оптимизации процессов для повышения эффективности работы.
- **Типичные фразы этого человека:** "Нам нужно адаптироваться к изменениям на рынке", "Как мы можем улучшить взаимодействие с учениками?", "Давайте внедрим новые технологии для повышения качества курсов".
- **Почему она заинтересована в продуктах или услугах нашей компании:** 
  1. Интеграция всех инструментов в одном месте упростит управление процессами.
  2. Возможность анализа успеваемости учеников поможет адаптировать курсы под их потребности.
  3. Автоматизация процессов с помощью CRM-системы сэкономит время и ресурсы.
  4. Интерактивные уроки повысят вовлеченность учеников.
  5. Кастомизация платформы позволит адаптировать её под уникальные потребности школы.</t>
        </is>
      </c>
      <c r="G2" s="1" t="inlineStr">
        <is>
          <t>Память</t>
        </is>
      </c>
    </row>
    <row r="3">
      <c r="A3" s="1" t="inlineStr">
        <is>
          <t>Блок</t>
        </is>
      </c>
      <c r="B3" s="1" t="inlineStr">
        <is>
          <t>Этап</t>
        </is>
      </c>
      <c r="C3" s="1" t="inlineStr">
        <is>
          <t>Задача</t>
        </is>
      </c>
      <c r="D3" s="1" t="inlineStr">
        <is>
          <t>Пример</t>
        </is>
      </c>
      <c r="E3" s="1" t="inlineStr">
        <is>
          <t>Промпт</t>
        </is>
      </c>
      <c r="F3" s="1" t="inlineStr">
        <is>
          <t>Результат</t>
        </is>
      </c>
      <c r="G3" s="1" t="inlineStr">
        <is>
          <t>Память: часть скрипта</t>
        </is>
      </c>
      <c r="H3" s="1" t="inlineStr">
        <is>
          <t>Память: весь скрипт до этого этапа</t>
        </is>
      </c>
      <c r="I3" s="1" t="inlineStr">
        <is>
          <t>Формулы GPT</t>
        </is>
      </c>
      <c r="J3" s="1" t="inlineStr">
        <is>
          <t>Стилизатор: промпт</t>
        </is>
      </c>
      <c r="K3" s="1" t="inlineStr">
        <is>
          <t>Стилизатор: результат</t>
        </is>
      </c>
    </row>
    <row r="4">
      <c r="A4" s="4" t="inlineStr">
        <is>
          <t>Установление контакта</t>
        </is>
      </c>
      <c r="B4" s="2" t="inlineStr">
        <is>
          <t>Выход на ЛПР</t>
        </is>
      </c>
      <c r="C4" s="2" t="inlineStr">
        <is>
          <t>Задача:
Убедиться, что ты общаешься с человеком, который в онлайн-школе отвечает за то, на чём работают курсы и как ведутся ученики (платформа, CRM, оплаты), и принимает решение о смене инструментов.</t>
        </is>
      </c>
      <c r="D4" s="2" t="inlineStr">
        <is>
          <t>Пример 1:
«Добрый день! Подскажите, пожалуйста, кто у вас отвечает за платформу, на которой идут курсы, и за работу с учениками — вы или кто-то из команды?»
Пример 2:
«Добрый день! Правильно понимаю, что решения о том, где проходят ваши курсы и как ведётся база учеников, принимаете вы?»</t>
        </is>
      </c>
      <c r="E4"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&lt;",$A4,"&gt;
а именно для
Пункта: &lt;",$B4,"&gt;
Задача пункта: &lt;",$C4,"&gt;
СТРОГО ПРИДЕРЖИВАЙСЯ примеров по объему проговариваемого текста. Примеры: &lt;",$D4,"&gt;
Компания, в которой ты работаешь, и наш продукт: &lt;",$B$1,"&gt;","
Выдай только текст этой части скрипта (реплики менеджера и, где нужно, ожидаемые ответы клиента), на русском.")</f>
        <v/>
      </c>
      <c r="F4" s="3" t="inlineStr">
        <is>
          <t>**Мария:** Добрый день! Меня зовут Мария, я представляю компанию Sintaris. Подскажите, пожалуйста, кто у вас отвечает за платформу, на которой идут курсы, и за работу с учениками — вы или кто-то из команды?
**Анна:** Здравствуйте, Мария! Я отвечаю за эти вопросы, это входит в мои обязанности.
**Мария:** Отлично, Анна! Правильно понимаю, что вы принимаете решения о смене инструментов для управления курсами и взаимодействия с учениками?</t>
        </is>
      </c>
      <c r="G4" s="2">
        <f>CONCATENATE("Часть скрипта для блока ",A4,", пункта  ",B4,". Уже написана: ",F4,"
_______
")</f>
        <v/>
      </c>
      <c r="H4" s="2">
        <f>CONCATENATE(G$4:G4)</f>
        <v/>
      </c>
      <c r="I4" s="2" t="inlineStr">
        <is>
          <t>Результат: =GPT(E4)
Стилизатор: =GPT(J4)</t>
        </is>
      </c>
      <c r="J4"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",F4,"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",D4,"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4" s="3" t="inlineStr">
        <is>
          <t>**Мария:** Добрый день! Меня зовут Мария, я из компании Sintaris. Могу узнать, кто у вас отвечает за платформу для курсов и взаимодействие с учениками — это вы или кто-то из вашей команды?
**Анна:** Здравствуйте, Мария! Я отвечаю за эти вопросы, это входит в мои обязанности.
**Мария:** Прекрасно, Анна! Верно ли я понимаю, что вы принимаете решения о выборе инструментов для управления курсами и работы с учениками?</t>
        </is>
      </c>
    </row>
    <row r="5">
      <c r="A5" s="4" t="inlineStr">
        <is>
          <t>Установление контакта</t>
        </is>
      </c>
      <c r="B5" s="2" t="inlineStr">
        <is>
          <t>Установление контакта</t>
        </is>
      </c>
      <c r="C5" s="2" t="inlineStr">
        <is>
          <t>Задача:
Расслабить человека, объяснить, почему звонишь, и дать ясность, что можешь быть полезен.
Важно!!! Называй клиента по имени — это задаёт доверительный тон всему разговору.</t>
        </is>
      </c>
      <c r="D5" s="2" t="inlineStr">
        <is>
          <t>Пример 1:
«Анна, увидела ваш курс по нутрициологии — набор открыт, поэтому и звоню»
Пример 2:
«Анна, видела, что вы ведёте учеников в Telegram и принимаете оплату по ссылке — звоню как раз по этому поводу. Удобно две минуты?»</t>
        </is>
      </c>
      <c r="E5"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&lt;",$A5,"&gt;
а именно для
Пункта: &lt;",$B5,"&gt;
Задача пункта: &lt;",$C5,"&gt;
СТРОГО ПРИДЕРЖИВАЙСЯ примеров по объему проговариваемого текста. Примеры: &lt;",$D5,"&gt;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&lt;",H4,"&gt;","
Выдай только текст этой части скрипта (реплики менеджера и, где нужно, ожидаемые ответы клиента), на русском.")</f>
        <v/>
      </c>
      <c r="F5" s="3" t="inlineStr">
        <is>
          <t>**Мария:** Замечательно! Анна, я обратила внимание, что ваша школа предлагает широкий спектр образовательных программ и активно использует различные инструменты для взаимодействия с учениками. Звоню, чтобы обсудить, как мы можем помочь вам упростить управление процессами и повысить удержание учеников. Удобно ли вам сейчас поговорить?
**Анна:** Да, сейчас удобно. О чем именно вы хотите поговорить?
**Мария:** Спасибо! Я представляю платформу «Тарис», которая объединяет все необходимые функции для ведения курсов и управления клиентами в одном месте. Это может помочь вам избавиться от разрозненных инструментов и сосредоточиться на создании качественного контента. Как вы сейчас решаете вопросы интеграции и автоматизации процессов в вашей школе?</t>
        </is>
      </c>
      <c r="G5" s="2">
        <f>CONCATENATE("Часть скрипта для блока ",A5,", пункта  ",B5,". Уже написана: ",F5,"
_______
")</f>
        <v/>
      </c>
      <c r="H5" s="2">
        <f>CONCATENATE(G$4:G5)</f>
        <v/>
      </c>
      <c r="I5" s="2" t="inlineStr">
        <is>
          <t>Результат: =GPT(E5)
Стилизатор: =GPT(J5)</t>
        </is>
      </c>
      <c r="J5"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",F5,"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",D5,"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5" s="3" t="inlineStr">
        <is>
          <t>**Мария:** Здравствуйте, Анна! Обратила внимание на вашу школу и на то, что у вас довольно много образовательных программ. Звоню, чтобы обсудить, как мы могли бы помочь вам упростить управление процессами и повысить удержание учеников. Удобно ли вам сейчас немного пообщаться?
**Анна:** Да, сейчас удобно. О чем именно вы хотите поговорить?
**Мария:** Спасибо! Я представляю платформу «Тарис». Она объединяет все нужные функции для ведения курсов и управления клиентами в одном месте. Это может помочь вам избавиться от множества разрозненных инструментов и сосредоточиться на создании качественного контента. Как вы сейчас решаете вопросы интеграции и автоматизации процессов в вашей школе?</t>
        </is>
      </c>
    </row>
    <row r="6">
      <c r="A6" s="4" t="inlineStr">
        <is>
          <t>Программирование</t>
        </is>
      </c>
      <c r="B6" s="2" t="inlineStr">
        <is>
          <t>Программирование</t>
        </is>
      </c>
      <c r="C6" s="2" t="inlineStr">
        <is>
          <t>Задача:
Предложить, как пойдёт разговор, чтобы удерживать инициативу. Показать заботу: клиент должен понимать, что предложение будет под его ситуацию.</t>
        </is>
      </c>
      <c r="D6" s="2" t="inlineStr">
        <is>
          <t>Пример 1:
«Чтобы не рассказывать вам лишнего, задам 2–3 вопроса о том, как у вас сейчас устроены курсы, хорошо?»
Пример 2:
«Давайте так: я задам несколько вопросов, а потом скажу, есть ли смысл вам вообще смотреть нашу платформу. Договорились?»</t>
        </is>
      </c>
      <c r="E6"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&lt;",$A6,"&gt;
а именно для
Пункта: &lt;",$B6,"&gt;
Задача пункта: &lt;",$C6,"&gt;
СТРОГО ПРИДЕРЖИВАЙСЯ примеров по объему проговариваемого текста. Примеры: &lt;",$D6,"&gt;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&lt;",H5,"&gt;","
Выдай только текст этой части скрипта (реплики менеджера и, где нужно, ожидаемые ответы клиента), на русском.")</f>
        <v/>
      </c>
      <c r="F6" s="3" t="inlineStr">
        <is>
          <t>**Мария:** Поняла вас. Чтобы лучше понять вашу ситуацию, расскажите, пожалуйста, как вы сейчас организуете управление курсами и взаимодействие с учениками? Какие инструменты используете?
**Анна:** Мы используем несколько разных платформ: для вебинаров — одну, для видеоуроков — другую, а для общения с учениками — мессенджеры. Это создает определенные сложности.
**Мария:** Это довольно распространенная проблема. Часто клиенты говорят, что им сложно управлять процессами из-за разрозненных инструментов. Скажите, какие именно задачи вам хотелось бы упростить или автоматизировать?
**Анна:** Нам нужно улучшить взаимодействие с учениками и упростить процесс обработки оплат.
**Мария:** Понятно. В «Тарис» есть встроенная CRM-система, которая автоматизирует напоминания и обработку оплат, что может значительно сэкономить ваше время. Давайте так: я задам еще несколько вопросов о ваших текущих процессах, а потом расскажу, как «Тарис» может помочь именно вам. Договорились?</t>
        </is>
      </c>
      <c r="G6" s="2">
        <f>CONCATENATE("Часть скрипта для блока ",A6,", пункта  ",B6,". Уже написана: ",F6,"
_______
")</f>
        <v/>
      </c>
      <c r="H6" s="2">
        <f>CONCATENATE(G$4:G6)</f>
        <v/>
      </c>
      <c r="I6" s="2" t="inlineStr">
        <is>
          <t>Результат: =GPT(E6)
Стилизатор: =GPT(J6)</t>
        </is>
      </c>
      <c r="J6"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",F6,"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",D6,"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6" s="3" t="inlineStr">
        <is>
          <t>**Мария:** Поняла вас. Чтобы лучше разобраться в вашей ситуации, расскажите, пожалуйста, как у вас сейчас организовано управление курсами и взаимодействие с учениками? Какие инструменты вы используете?
**Анна:** Мы используем несколько разных платформ: для вебинаров — одну, для видеоуроков — другую, а для общения с учениками — мессенджеры. Это создает определенные сложности.
**Мария:** Да, это довольно распространенная проблема. Многие клиенты отмечают, что разрозненные инструменты усложняют управление процессами. Какие задачи вам хотелось бы упростить или автоматизировать?
**Анна:** Нам нужно улучшить взаимодействие с учениками и упростить процесс обработки оплат.
**Мария:** Понятно. В «Тарис» есть встроенная CRM-система, которая может помочь автоматизировать напоминания и обработку оплат, что, возможно, сэкономит вам время. Давайте так: я задам еще несколько вопросов о ваших текущих процессах, а потом расскажу, как «Тарис» может быть полезен именно вам. Договорились?</t>
        </is>
      </c>
    </row>
    <row r="7">
      <c r="A7" s="4" t="inlineStr">
        <is>
          <t>Квалификация</t>
        </is>
      </c>
      <c r="B7" s="2" t="inlineStr">
        <is>
          <t>Квалификация</t>
        </is>
      </c>
      <c r="C7" s="2" t="inlineStr">
        <is>
          <t>Очень важный этап
Задача:
Понять, интересен ли нам клиент. Задать 1–3 вопроса по критериям:
1 — Боль и потребность: есть ли вообще у клиента хаос из разрозненных инструментов и потери учеников.
2 — Бюджет: сколько учеников и потоков, сколько сейчас тратят на платформу и сервисы — проходит ли клиент по среднему чеку (от ~50 учеников в месяц).
3 — Сроки: когда ближайший запуск или набор, планируют ли что-то менять.</t>
        </is>
      </c>
      <c r="D7" s="2" t="inlineStr">
        <is>
          <t>Пример про боль:
«А сейчас ученики у вас где живут — в чате, в GetCourse, в таблице? Бывает, что кто-то теряется между ними?»
Пример про бюджет:
«Сколько примерно учеников проходит через вас в месяц?»
«Сколько сейчас уходит в месяц на все сервисы вместе — платформу, рассылки, CRM?»
Пример про сроки:
«Когда у вас ближайший запуск потока?»</t>
        </is>
      </c>
      <c r="E7"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&lt;",$A7,"&gt;
а именно для
Пункта: &lt;",$B7,"&gt;
Задача пункта: &lt;",$C7,"&gt;
СТРОГО ПРИДЕРЖИВАЙСЯ примеров по объему проговариваемого текста. Примеры: &lt;",$D7,"&gt;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&lt;",H6,"&gt;","
Выдай только текст этой части скрипта (реплики менеджера и, где нужно, ожидаемые ответы клиента), на русском.")</f>
        <v/>
      </c>
      <c r="F7" s="3" t="inlineStr">
        <is>
          <t>**Мария:** Отлично! Анна, скажите, пожалуйста, как много учеников проходит через вашу школу в месяц? 
**Анна:** У нас около 70 учеников в месяц.
**Мария:** Спасибо! А сколько вы сейчас тратите в месяц на все сервисы, включая платформу, рассылки и CRM?
**Анна:** Мы тратим около 30 тысяч рублей на все инструменты.
**Мария:** Поняла. И когда у вас ближайший запуск нового потока курсов? 
**Анна:** Мы планируем запуск через месяц.
**Мария:** Спасибо за информацию, Анна! Это поможет мне лучше понять ваши потребности и предложить наиболее подходящее решение.</t>
        </is>
      </c>
      <c r="G7" s="2">
        <f>CONCATENATE("Часть скрипта для блока ",A7,", пункта  ",B7,". Уже написана: ",F7,"
_______
")</f>
        <v/>
      </c>
      <c r="H7" s="2">
        <f>CONCATENATE(G$4:G7)</f>
        <v/>
      </c>
      <c r="I7" s="2" t="inlineStr">
        <is>
          <t>Результат: =GPT(E7)
Стилизатор: =GPT(J7)</t>
        </is>
      </c>
      <c r="J7"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",F7,"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",D7,"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7" s="3" t="inlineStr">
        <is>
          <t>**Мария:** Здравствуйте, Анна! Скажите, пожалуйста, сколько учеников проходит через вашу школу в месяц? 
**Анна:** У нас около 70 учеников в месяц.
**Мария:** Спасибо! А сколько у вас уходит в месяц на все сервисы, включая платформу, рассылки и CRM?
**Анна:** Мы тратим около 30 тысяч рублей на все инструменты.
**Мария:** Поняла. И когда у вас запланирован ближайший запуск нового потока курсов? 
**Анна:** Мы планируем запуск через месяц.
**Мария:** Спасибо за информацию, Анна! Это действительно поможет мне лучше понять ваши потребности и предложить вам наиболее подходящее решение.</t>
        </is>
      </c>
    </row>
    <row r="8">
      <c r="A8" s="4" t="inlineStr">
        <is>
          <t>Квалификация</t>
        </is>
      </c>
      <c r="B8" s="2" t="inlineStr">
        <is>
          <t>Финал блока</t>
        </is>
      </c>
      <c r="C8" s="2" t="inlineStr">
        <is>
          <t>Задача:
Получить подтверждение: если наше решение окажется лучше текущей связки, клиент В ПРИНЦИПЕ готов рассматривать переход.</t>
        </is>
      </c>
      <c r="D8" s="2" t="inlineStr">
        <is>
          <t>Пример 1:
«Если покажем, что всё — уроки, чат, оплаты и напоминания — можно держать в одном месте и это выйдет не дороже, чем сейчас, вы в принципе готовы рассматривать переход?»</t>
        </is>
      </c>
      <c r="E8"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&lt;",$A8,"&gt;
а именно для
Пункта: &lt;",$B8,"&gt;
Задача пункта: &lt;",$C8,"&gt;
СТРОГО ПРИДЕРЖИВАЙСЯ примеров по объему проговариваемого текста. Примеры: &lt;",$D8,"&gt;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&lt;",H7,"&gt;","
Выдай только текст этой части скрипта (реплики менеджера и, где нужно, ожидаемые ответы клиента), на русском.")</f>
        <v/>
      </c>
      <c r="F8" s="3" t="inlineStr">
        <is>
          <t>**Мария:** Если мы покажем, что «Тарис» может объединить все ваши инструменты — вебинары, видеоуроки и CRM — в одном месте и это будет не дороже, чем вы сейчас тратите, вы в принципе готовы рассматривать переход на нашу платформу?
**Анна:** Да, если это действительно так, я готова рассмотреть возможность перехода.</t>
        </is>
      </c>
      <c r="G8" s="2">
        <f>CONCATENATE("Часть скрипта для блока ",A8,", пункта  ",B8,". Уже написана: ",F8,"
_______
")</f>
        <v/>
      </c>
      <c r="H8" s="2">
        <f>CONCATENATE(G$4:G8)</f>
        <v/>
      </c>
      <c r="I8" s="2" t="inlineStr">
        <is>
          <t>Результат: =GPT(E8)
Стилизатор: =GPT(J8)</t>
        </is>
      </c>
      <c r="J8"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",F8,"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",D8,"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8" s="3" t="inlineStr">
        <is>
          <t>**Мария:** Если мы сможем показать, что «Тарис» объединяет все ваши инструменты — вебинары, видеоуроки и CRM — в одном месте, и при этом это не будет дороже ваших текущих затрат, вы готовы рассмотреть возможность перехода на нашу платформу?
**Анна:** Да, если это действительно так, я готова рассмотреть возможность перехода.</t>
        </is>
      </c>
    </row>
    <row r="9">
      <c r="A9" s="4" t="inlineStr">
        <is>
          <t>Выявление потребности</t>
        </is>
      </c>
      <c r="B9" s="2" t="inlineStr">
        <is>
          <t>Уточняем потребность по этой сделке</t>
        </is>
      </c>
      <c r="C9" s="2" t="inlineStr">
        <is>
          <t>Задача:
Максимально уточнить, что для клиента важно: какие функции, какой объём учеников, что больше всего мешает сейчас. Узнать, что уже пробовали и с чем сравнивают — сможем ли мы быть лучше. Заложить мысль, что внедрение бывает разного объёма — от простого переноса до полного аудита.</t>
        </is>
      </c>
      <c r="D9" s="2" t="inlineStr">
        <is>
          <t>Пример 1:
«Что сейчас отнимает у вас больше всего времени — проверка заданий, ответы в чате, напоминания об оплате?»
Пример 2:
«Уже смотрели другие платформы? Что не подошло?»
Пример 3:
«Вам важнее сохранить привычный Telegram для учеников или можно перевести их в личный кабинет?»</t>
        </is>
      </c>
      <c r="E9"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&lt;",$A9,"&gt;
а именно для
Пункта: &lt;",$B9,"&gt;
Задача пункта: &lt;",$C9,"&gt;
СТРОГО ПРИДЕРЖИВАЙСЯ примеров по объему проговариваемого текста. Примеры: &lt;",$D9,"&gt;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&lt;",H8,"&gt;","
Выдай только текст этой части скрипта (реплики менеджера и, где нужно, ожидаемые ответы клиента), на русском.")</f>
        <v/>
      </c>
      <c r="F9" s="3" t="inlineStr">
        <is>
          <t>**Мария:** Отлично, Анна! Давайте уточним, что для вас наиболее важно в новой платформе. Какие функции вы считаете критически важными для вашей работы? 
**Анна:** Нам важно, чтобы все инструменты были интегрированы, и чтобы мы могли легко отслеживать успеваемость учеников.
**Мария:** Поняла. А как вы сейчас отслеживаете успеваемость и вовлеченность учеников? Есть ли у вас какие-то конкретные метрики, на которые вы ориентируетесь?
**Анна:** Мы используем таблицы и отчеты, но это занимает много времени и не всегда удобно.
**Мария:** Это действительно может быть затруднительно. В «Тарис» есть встроенные аналитические инструменты, которые позволяют в реальном времени отслеживать успеваемость и вовлеченность учеников. Скажите, сколько курсов вы планируете запускать одновременно? 
**Анна:** Обычно у нас 3-4 курса одновременно.
**Мария:** Спасибо! А какие проблемы вы сейчас испытываете с управлением этими курсами? Что больше всего мешает вам?
**Анна:** Иногда сложно координировать работу команды и следить за тем, чтобы все материалы были готовы вовремя.
**Мария:** Понимаю. В «Тарис» есть функции для управления проектами и взаимодействия с командой, что может помочь вам упростить этот процесс. Вы уже пробовали другие платформы? Что вам не подошло в них?
**Анна:** Мы смотрели несколько вариантов, но они либо слишком сложные, либо не все функции были интегрированы.
**Мария:** Это распространенная проблема. В «Тарис» мы стремимся предоставить комплексное решение, чтобы вам не приходилось использовать несколько инструментов. Если мы предложим вам решение, которое будет адаптировано под ваши уникальные потребности, вы готовы рассмотреть внедрение?
**Анна:** Да, если это будет действительно удобно и эффективно, я готова рассмотреть.
**Мария:** Отлично! Мы можем предложить разные варианты внедрения — от простого переноса данных до полного аудита ваших процессов. Какой из этих вариантов вам кажется более подходящим?</t>
        </is>
      </c>
      <c r="G9" s="2">
        <f>CONCATENATE("Часть скрипта для блока ",A9,", пункта  ",B9,". Уже написана: ",F9,"
_______
")</f>
        <v/>
      </c>
      <c r="H9" s="2">
        <f>CONCATENATE(G$4:G9)</f>
        <v/>
      </c>
      <c r="I9" s="2" t="inlineStr">
        <is>
          <t>Результат: =GPT(E9)
Стилизатор: =GPT(J9)</t>
        </is>
      </c>
      <c r="J9"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",F9,"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",D9,"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9" s="3" t="inlineStr">
        <is>
          <t>**Мария:** Здравствуйте, Анна! Давайте немного подробнее обсудим, что для вас действительно важно в новой платформе. Какие функции вы считаете наиболее необходимыми для вашей работы?
**Анна:** Нам важно, чтобы все инструменты были интегрированы, и чтобы мы могли легко отслеживать успеваемость учеников.
**Мария:** Поняла вас. А как вы сейчас отслеживаете успеваемость и вовлеченность учеников? Есть ли у вас какие-то конкретные метрики, на которые вы ориентируетесь?
**Анна:** Мы используем таблицы и отчеты, но это занимает много времени и не всегда удобно.
**Мария:** Это действительно может быть непросто. В «Тарис» есть встроенные аналитические инструменты, которые позволяют в реальном времени отслеживать успеваемость и вовлеченность учеников. Скажите, сколько курсов вы обычно запускаете одновременно?
**Анна:** Обычно у нас 3-4 курса одновременно.
**Мария:** Спасибо за информацию! А какие трудности вы сейчас испытываете с управлением этими курсами? Что вам больше всего мешает?
**Анна:** Иногда сложно координировать работу команды и следить за тем, чтобы все материалы были готовы вовремя.
**Мария:** Понимаю вас. В «Тарис» есть функции для управления проектами и взаимодействия с командой, которые могут помочь упростить этот процесс. Вы уже пробовали другие платформы? Что именно вам в них не подошло?
**Анна:** Мы смотрели несколько вариантов, но они либо слишком сложные, либо не все функции были интегрированы.
**Мария:** Это довольно распространенная ситуация. В «Тарис» мы стараемся предложить комплексное решение, чтобы вам не приходилось использовать несколько инструментов. Если мы предложим вам решение, которое будет адаптировано под ваши уникальные потребности, вы готовы рассмотреть внедрение?
**Анна:** Да, если это будет действительно удобно и эффективно, я готова рассмотреть.
**Мария:** Отлично! Мы можем предложить разные варианты внедрения — от простого переноса данных до полного аудита ваших процессов. Какой из этих вариантов вам кажется более подходящим?</t>
        </is>
      </c>
    </row>
    <row r="10">
      <c r="A10" s="4" t="inlineStr">
        <is>
          <t>Программирование 2</t>
        </is>
      </c>
      <c r="B10" s="2" t="inlineStr">
        <is>
          <t>Программирование 2</t>
        </is>
      </c>
      <c r="C10" s="2" t="inlineStr">
        <is>
          <t>Задача:
Проговорить своё понимание ключевых критериев клиента и получить подтверждение, что понимание верное — клиент сам говорит «да, именно это нужно».</t>
        </is>
      </c>
      <c r="D10" s="2" t="inlineStr">
        <is>
          <t>Пример 1:
«Анна, правильно понимаю: вам нужно, чтобы 150 учеников видели уроки и задания в одном месте, вы не теряли оплаты, а чат остался в Telegram. Всё верно?»
Клиент: «Да».</t>
        </is>
      </c>
      <c r="E10"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&lt;",$A10,"&gt;
а именно для
Пункта: &lt;",$B10,"&gt;
Задача пункта: &lt;",$C10,"&gt;
СТРОГО ПРИДЕРЖИВАЙСЯ примеров по объему проговариваемого текста. Примеры: &lt;",$D10,"&gt;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&lt;",H9,"&gt;","
Выдай только текст этой части скрипта (реплики менеджера и, где нужно, ожидаемые ответы клиента), на русском.")</f>
        <v/>
      </c>
      <c r="F10" s="3" t="inlineStr">
        <is>
          <t>**Мария:** Поняла вас, Анна! Давайте я проговорю, что, на мой взгляд, является ключевыми критериями для вас. Вам важно, чтобы все инструменты для управления курсами и взаимодействия с учениками были интегрированы в одном месте, чтобы вы могли легко отслеживать успеваемость и вовлеченность учеников, а также чтобы автоматизация процессов сэкономила ваше время. Правильно?
**Анна:** Да, именно это нужно.</t>
        </is>
      </c>
      <c r="G10" s="2">
        <f>CONCATENATE("Часть скрипта для блока ",A10,", пункта  ",B10,". Уже написана: ",F10,"
_______
")</f>
        <v/>
      </c>
      <c r="H10" s="2">
        <f>CONCATENATE(G$4:G10)</f>
        <v/>
      </c>
      <c r="I10" s="2" t="inlineStr">
        <is>
          <t>Результат: =GPT(E10)
Стилизатор: =GPT(J10)</t>
        </is>
      </c>
      <c r="J10"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",F10,"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",D10,"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10" s="3" t="inlineStr">
        <is>
          <t>**Мария:** Анна, правильно ли я вас поняла: вам нужно, чтобы все инструменты для управления курсами и взаимодействия с учениками были собраны в одном месте? Это поможет вам легко отслеживать успеваемость и вовлеченность учеников, а также сэкономит ваше время за счёт автоматизации процессов. Верно?</t>
        </is>
      </c>
    </row>
    <row r="11">
      <c r="A11" s="4" t="inlineStr">
        <is>
          <t>Презентация</t>
        </is>
      </c>
      <c r="B11" s="2" t="inlineStr">
        <is>
          <t>Закрытие на КЛЮЧЕВОЙ ЭТАП ВОРОНКИ</t>
        </is>
      </c>
      <c r="C11" s="2" t="inlineStr">
        <is>
          <t>Задача:
Пригласить на КЭВ — 30-минутный онлайн-демопоказ «Тариса» на примере курса клиента плюс бесплатный экспресс-аудит процессов.
1 — Коротко и точно, без «размазывания».
2 — Говорим на языке выгод клиента: «а мне-то что от этого?».
3 — «Вы-подход».
4 — Обращаемся по имени.
5 — Информация порциями, после каждой — короткий вопрос на реакцию («Как вам?»).</t>
        </is>
      </c>
      <c r="D11" s="2" t="inlineStr">
        <is>
          <t>Пример 1:
«Давайте я покажу за 30 минут в Zoom, как ваш курс выглядел бы в „Тарисе“, — уроки, чат и оплаты на одном экране. Если не подойдёт — просто останетесь со своей схемой. Как вам?»
Пример 2:
«Плюс на этой же встрече бесплатно разберём, где у вас сейчас теряются ученики. Удобно в четверг или пятницу?»</t>
        </is>
      </c>
      <c r="E11"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&lt;",$A11,"&gt;
а именно для
Пункта: &lt;",$B11,"&gt;
Задача пункта: &lt;",$C11,"&gt;
СТРОГО ПРИДЕРЖИВАЙСЯ примеров по объему проговариваемого текста. Примеры: &lt;",$D11,"&gt;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&lt;",H10,"&gt;","
Выдай только текст этой части скрипта (реплики менеджера и, где нужно, ожидаемые ответы клиента), на русском.")</f>
        <v/>
      </c>
      <c r="F11" s="3" t="inlineStr">
        <is>
          <t>**Мария:** Отлично, Анна! Давайте я покажу вам, как это может выглядеть на практике. Я предлагаю провести 30-минутный онлайн-демопоказ «Тариса», где мы сможем рассмотреть, как ваш курс выглядел бы на нашей платформе. Вы увидите, как все функции — уроки, чат и оплата — будут интегрированы в одном месте. Как вам такая идея?
**Анна:** Звучит интересно, давайте попробуем.
**Мария:** Замечательно! Плюс на этой же встрече мы проведем бесплатный экспресс-аудит ваших текущих процессов и разберем, где у вас могут теряться ученики. Удобно ли вам в четверг или пятницу?</t>
        </is>
      </c>
      <c r="G11" s="2">
        <f>CONCATENATE("Часть скрипта для блока ",A11,", пункта  ",B11,". Уже написана: ",F11,"
_______
")</f>
        <v/>
      </c>
      <c r="H11" s="2">
        <f>CONCATENATE(G$4:G11)</f>
        <v/>
      </c>
      <c r="I11" s="2" t="inlineStr">
        <is>
          <t>Результат: =GPT(E11)
Стилизатор: =GPT(J11)</t>
        </is>
      </c>
      <c r="J11"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",F11,"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",D11,"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11" s="3" t="inlineStr">
        <is>
          <t>**Мария:** Здравствуйте, Анна! Давайте я за 30 минут в Zoom покажу, как ваш курс может выглядеть в «Тарисе». Мы посмотрим на уроки, чат и оплату — всё это будет на одном экране. Если вам не понравится, вы всегда сможете остаться с вашей текущей схемой. Как вам такая идея?
**Анна:** Звучит интересно, давайте попробуем.
**Мария:** Отлично! И на этой же встрече мы бесплатно разберём, где у вас могут теряться ученики. Удобно будет в четверг или пятницу?</t>
        </is>
      </c>
    </row>
    <row r="12">
      <c r="A12" s="4" t="inlineStr">
        <is>
          <t>Презентация</t>
        </is>
      </c>
      <c r="B12" s="2" t="inlineStr">
        <is>
          <t>Уточнение адреса отправки ответа</t>
        </is>
      </c>
      <c r="C12" s="2" t="inlineStr">
        <is>
          <t>Задача:
Уточнить, куда прислать ссылку на встречу и материалы.</t>
        </is>
      </c>
      <c r="D12" s="2" t="inlineStr">
        <is>
          <t>Пример:
«Куда удобнее прислать ссылку на встречу — в Telegram или на почту?»</t>
        </is>
      </c>
      <c r="E12"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&lt;",$A12,"&gt;
а именно для
Пункта: &lt;",$B12,"&gt;
Задача пункта: &lt;",$C12,"&gt;
СТРОГО ПРИДЕРЖИВАЙСЯ примеров по объему проговариваемого текста. Примеры: &lt;",$D12,"&gt;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&lt;",H11,"&gt;","
Выдай только текст этой части скрипта (реплики менеджера и, где нужно, ожидаемые ответы клиента), на русском.")</f>
        <v/>
      </c>
      <c r="F12" s="3" t="inlineStr">
        <is>
          <t>**Мария:** Отлично! Чтобы я могла прислать вам ссылку на встречу и материалы, куда будет удобнее — в Telegram или на почту? 
**Анна:** Лучше на почту. 
**Мария:** Спасибо! Какой адрес электронной почты использовать?</t>
        </is>
      </c>
      <c r="G12" s="2">
        <f>CONCATENATE("Часть скрипта для блока ",A12,", пункта  ",B12,". Уже написана: ",F12,"
_______
")</f>
        <v/>
      </c>
      <c r="H12" s="2">
        <f>CONCATENATE(G$4:G12)</f>
        <v/>
      </c>
      <c r="I12" s="2" t="inlineStr">
        <is>
          <t>Результат: =GPT(E12)
Стилизатор: =GPT(J12)</t>
        </is>
      </c>
      <c r="J12"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",F12,"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",D12,"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12" s="3" t="inlineStr">
        <is>
          <t>**Мария:** Здравствуйте! Подскажите, пожалуйста, куда будет удобнее отправить ссылку на встречу и материалы — в Telegram или на почту? 
**Анна:** Лучше на почту. 
**Мария:** Спасибо большое! Какой адрес электронной почты мне использовать?</t>
        </is>
      </c>
    </row>
    <row r="13">
      <c r="A13" s="4" t="inlineStr">
        <is>
          <t>Отработка возражений</t>
        </is>
      </c>
      <c r="B13" s="2" t="inlineStr">
        <is>
          <t>Возражение</t>
        </is>
      </c>
      <c r="C13" s="2" t="inlineStr">
        <is>
          <t>Задача:
Сделать так, чтобы человек согласился на КЭВ.
1. Если возражений нет — сразу закрываем на демопоказ.
2. Если возражения есть — отрабатываем и всё равно закрываем на демопоказ.</t>
        </is>
      </c>
      <c r="D13" s="2" t="inlineStr">
        <is>
          <t>Пример 1:
Клиент: «Мы уже на GetCourse, переезжать долго».
Менеджер: «Понимаю. Как раз поэтому предлагаю сначала просто посмотреть — перенос мы делаем сами. Если увидите, что выгоды нет, останетесь на GetCourse. Посмотрим в четверг?»
Пример 2:
Клиент: «Сейчас не до этого, идёт запуск».
Менеджер: «Поняла! Тогда давайте после запуска — когда будете подводить итоги потока, как раз покажу, что можно упростить к следующему. Какая неделя подойдёт?»</t>
        </is>
      </c>
      <c r="E13"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&lt;",$A13,"&gt;
а именно для
Пункта: &lt;",$B13,"&gt;
Задача пункта: &lt;",$C13,"&gt;
СТРОГО ПРИДЕРЖИВАЙСЯ примеров по объему проговариваемого текста. Примеры: &lt;",$D13,"&gt;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&lt;",H12,"&gt;","
Выдай только текст этой части скрипта (реплики менеджера и, где нужно, ожидаемые ответы клиента), на русском.")</f>
        <v/>
      </c>
      <c r="F13" s="3" t="inlineStr">
        <is>
          <t>**Мария:** Поняла вас, Анна! Если у вас возникли сомнения или вопросы по поводу перехода на нашу платформу, я с радостью на них отвечу. Что вас беспокоит?
**Анна:** Я переживаю, что переход на новую платформу может занять много времени и ресурсов.
**Мария:** Это вполне естественное беспокойство. Однако, мы предлагаем полный сервис по переносу данных и настройке платформы, чтобы вам не пришлось беспокоиться о технических аспектах. Мы сделаем это за вас. Как вы думаете, это могло бы вас успокоить?
**Анна:** Да, если вы берете на себя перенос, это значительно упростит процесс.
**Мария:** Отлично! Также хочу отметить, что мы предоставляем обучение для вашей команды, чтобы они могли быстро освоить новую платформу. Это поможет вам избежать задержек в работе. Как вы считаете, это было бы полезно?
**Анна:** Да, обучение было бы очень полезным.
**Мария:** Замечательно! Давайте тогда перейдем к следующему шагу. Я предлагаю провести 30-минутный онлайн-демопоказ «Тариса», где мы сможем рассмотреть, как ваш курс выглядел бы на нашей платформе. Вы увидите, как все функции — уроки, чат и оплата — будут интегрированы в одном месте. Как вам такая идея?
**Анна:** Звучит интересно, давайте попробуем.
**Мария:** Отлично! Плюс на этой же встрече мы проведем бесплатный экспресс-аудит ваших текущих процессов и разберем, где у вас могут теряться ученики. Удобно ли вам в четверг или пятницу?</t>
        </is>
      </c>
      <c r="G13" s="2">
        <f>CONCATENATE("Часть скрипта для блока ",A13,", пункта  ",B13,". Уже написана: ",F13,"
_______
")</f>
        <v/>
      </c>
      <c r="H13" s="2">
        <f>CONCATENATE(G$4:G13)</f>
        <v/>
      </c>
      <c r="I13" s="2" t="inlineStr">
        <is>
          <t>Результат: =GPT(E13)
Стилизатор: =GPT(J13)</t>
        </is>
      </c>
      <c r="J13"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",F13,"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",D13,"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13" s="3" t="inlineStr">
        <is>
          <t>**Мария:** Поняла вас, Анна! Если у вас есть какие-то сомнения или вопросы по поводу перехода на нашу платформу, буду рада на них ответить. Что именно вас беспокоит?
**Анна:** Я переживаю, что переход на новую платформу может занять много времени и ресурсов.
**Мария:** Это вполне естественное беспокойство. Мы понимаем, что это может быть непросто. Но у нас есть полный сервис по переносу данных и настройке платформы, так что вам не придется беспокоиться о технических деталях. Мы все сделаем за вас. Как вы думаете, это могло бы вас успокоить?
**Анна:** Да, если вы берете на себя перенос, это значительно упростит процесс.
**Мария:** Прекрасно! Также хочу добавить, что мы предоставляем обучение для вашей команды, чтобы они могли быстро освоить новую платформу. Это поможет избежать задержек в работе. Как вы считаете, это было бы полезно?
**Анна:** Да, обучение было бы очень полезным.
**Мария:** Замечательно! Давайте тогда перейдем к следующему шагу. Я предлагаю провести 30-минутный онлайн-демопоказ «Тариса», где мы сможем посмотреть, как ваш курс выглядел бы на нашей платформе. Вы увидите, как все функции — уроки, чат и оплата — будут интегрированы в одном месте. Как вам такая идея?
**Анна:** Звучит интересно, давайте попробуем.
**Мария:** Отлично! И на этой же встрече мы проведем бесплатный экспресс-аудит ваших текущих процессов и разберем, где могут теряться ученики. Удобно ли вам в четверг или пятницу?</t>
        </is>
      </c>
    </row>
    <row r="14">
      <c r="A14" s="4" t="inlineStr">
        <is>
          <t>Закрытие</t>
        </is>
      </c>
      <c r="B14" s="2" t="inlineStr">
        <is>
          <t>Финальное обещание</t>
        </is>
      </c>
      <c r="C14" s="2" t="inlineStr">
        <is>
          <t>Задача:
Чтобы человек подтвердил время КЭВ и сам хотел туда попасть. Зафиксировать дату, время, формат, кто будет на встрече, и взять обещание.</t>
        </is>
      </c>
      <c r="D14" s="2" t="inlineStr">
        <is>
          <t>Пример 1:
Менеджер: «Давайте зафиксируем: четверг, 15:00, Zoom, 30 минут. Будете вы и, может быть, ваш куратор?»
Клиент: &lt;отвечает&gt;
Менеджер: «Ссылку пришлю в Telegram, накануне напомню. Спасибо за время, Анна, до четверга!»</t>
        </is>
      </c>
      <c r="E14" s="2">
        <f>CONCATENATE("Ты очень опытный руководитель отдела продаж B2B SaaS-продуктов для онлайн-образования,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Л"&amp;"ПР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6:"&amp;" Презентация
1. Закрытие на КЛЮЧЕВОЙ ЭТАП ВОРОНКИ
2. Уточнение адреса отправки ответа
Этап 7: Отработка возражений
1. Возражение
Этап 8: Закрытие
1. Финальное обещание
Твоя задача — написать телефонный скрипт для разговора в холодную с ЛПР (лицом, п"&amp;"ринимающим решение).
Звонит менеджер по продажам Мария из компании Sintaris (продукт — платформа «Тарис»); все реплики менеджера — от её лица, в женском роде.
Ключевой этап воронки (КЭВ) для нашего продукта — 30-минутный онлайн-демопоказ «Тариса» на "&amp;"примере курса клиента и бесплатный экспресс-аудит его процессов.
Пиши скрипт для диалога с этим ЛПР: &lt;",$B$2,"&gt;
ВНИМАНИЕ, ЭТО ВАЖНО — сейчас ты пишешь часть скрипта для
Этапа: &lt;",$A14,"&gt;
а именно для
Пункта: &lt;",$B14,"&gt;
Задача пункта: &lt;",$C14,"&gt;
СТРОГО ПРИДЕРЖИВАЙСЯ примеров по объему проговариваемого текста. Примеры: &lt;",$D14,"&gt;
Компания, в которой ты работаешь, и наш продукт: &lt;",$B$1,"&gt;","
Уже написанные части скрипта — продолжай разговор с того места, где он остановился, не повторяй приветствие и уже сказанное: &lt;",H13,"&gt;","
Выдай только текст этой части скрипта (реплики менеджера и, где нужно, ожидаемые ответы клиента), на русском.")</f>
        <v/>
      </c>
      <c r="F14" s="3" t="inlineStr">
        <is>
          <t>**Мария:** Давайте зафиксируем: четверг, 15:00, Zoom, 30 минут. Будете вы и, может быть, ваш куратор?
**Анна:** Да, я буду, и, возможно, кто-то из команды подключится.
**Мария:** Ссылку пришлю на почту, накануне напомню. Спасибо за время, Анна, до четверга!</t>
        </is>
      </c>
      <c r="G14" s="2">
        <f>CONCATENATE("Часть скрипта для блока ",A14,", пункта  ",B14,". Уже написана: ",F14,"
_______
")</f>
        <v/>
      </c>
      <c r="H14" s="2">
        <f>CONCATENATE(G$4:G14)</f>
        <v/>
      </c>
      <c r="I14" s="2" t="inlineStr">
        <is>
          <t>Результат: =GPT(E14)
Стилизатор: =GPT(J14)</t>
        </is>
      </c>
      <c r="J14" s="2">
        <f>CONCATENATE("Ты стилизатор сообщений. Ты стилизуешь сообщения из части скрипта продаж, где менеджер по продажам одной компании звонит руководителю в другую компанию.
Твоя задача — взять исходный скрипт и стилизовать его по необходимым критериям.
Исходная часть "&amp;"скрипта:
",F14,"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стиль речи и человечности, а также объем. Примеры, на к"&amp;"оторые нужно ориентироваться:
",D14,"
3. Убери излишнюю уверенность и свое личное мнение по поводу продукции.
4. Общайся на «вы». Менеджер — женщина по имени Мария из компании Sintaris: все её реплики — в женском роде.
5. При общении будь конкретным при обозначении характеристик и парам"&amp;"етров чего угодно.
Выдай только стилизованный текст.")</f>
        <v/>
      </c>
      <c r="K14" s="3" t="inlineStr">
        <is>
          <t>**Мария:** Давайте уточним: четверг, 15:00, встреча в Zoom, на 30 минут. Вы будете, и, возможно, ваш куратор?
**Анна:** Да, я буду, и, возможно, кто-то из команды подключится.
**Мария:** Отлично, ссылку отправлю на почту, а накануне напомню. Спасибо за ваше время, Анна, до четверга!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2026-10-03T20:04:02Z</dcterms:created>
  <dcterms:modified xmlns:dcterms="http://purl.org/dc/terms/" xmlns:xsi="http://www.w3.org/2001/XMLSchema-instance" xsi:type="dcterms:W3CDTF">2026-10-03T20:04:57Z</dcterms:modified>
</cp:coreProperties>
</file>