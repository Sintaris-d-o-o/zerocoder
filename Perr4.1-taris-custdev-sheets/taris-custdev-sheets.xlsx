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Продукт" sheetId="1" state="visible" r:id="rId1"/>
    <sheet xmlns:r="http://schemas.openxmlformats.org/officeDocument/2006/relationships" name="2. Тест формул" sheetId="2" state="visible" r:id="rId2"/>
    <sheet xmlns:r="http://schemas.openxmlformats.org/officeDocument/2006/relationships" name="3. Идеи проект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60" customWidth="1" min="4" max="4"/>
  </cols>
  <sheetData>
    <row r="1">
      <c r="A1" s="1" t="inlineStr">
        <is>
          <t>Описание продукта</t>
        </is>
      </c>
    </row>
    <row r="2" ht="60" customHeight="1">
      <c r="A2" s="2" t="inlineStr">
        <is>
          <t>«Тарис» — платформа для экспертов (авторов онлайн-курсов, коучей, консультантов), которая объединяет в одном месте общение с учениками, обучение (уроки, задания, отслеживание прогресса) и ведение клиентов (CRM, оплаты, напоминания) — вместо того чтобы вручную склеивать Telegram, Google-документы и таблицы. Дополнительно продаётся аудит текущих процессов эксперта и внедрение платформы под его задачи. Целевая аудитория — эксперты, которые ведут собственные онлайн-курсы и теряют учеников и деньги из-за хаоса в разрозненных инструментах.</t>
        </is>
      </c>
    </row>
    <row r="4">
      <c r="A4" s="1" t="inlineStr">
        <is>
          <t>Категория</t>
        </is>
      </c>
      <c r="B4" s="1" t="inlineStr">
        <is>
          <t>Промпт (что отправляли в GPT)</t>
        </is>
      </c>
      <c r="C4" s="1" t="inlineStr">
        <is>
          <t>Пример формулы в Google Sheets</t>
        </is>
      </c>
      <c r="D4" s="1" t="inlineStr">
        <is>
          <t>Результат</t>
        </is>
      </c>
    </row>
    <row r="5">
      <c r="A5" s="2" t="inlineStr">
        <is>
          <t>Сегментация</t>
        </is>
      </c>
      <c r="B5" s="2" t="inlineStr">
        <is>
          <t>Продукт: «Тарис» — платформа для экспертов (авторов онлайн-курсов, коучей, консультантов), которая объединяет в одном месте общение с учениками, обучение (уроки, задания, отслеживание прогресса) и ведение клиентов (CRM, оплаты, напоминания) — вместо того чтобы вручную склеивать Telegram, Google-документы и таблицы. Дополнительно продаётся аудит текущих процессов эксперта и внедрение платформы под его задачи. Целевая аудитория — эксперты, которые ведут собственные онлайн-курсы и теряют учеников и деньги из-за хаоса в разрозненных инструментах.
Проведи сегментацию потенциальных клиентов по социально-демографическим и поведенческим признакам для этого продукта. Выдели 4-5 сегментов, для каждого — короткое описание.</t>
        </is>
      </c>
      <c r="C5" s="2">
        <f>GPT("Проведи сегментацию клиентов для продукта..."; $A$2)</f>
        <v/>
      </c>
      <c r="D5" s="2" t="inlineStr">
        <is>
          <t>Сегментация потенциальных клиентов для платформы «Тарис» может быть выполнена по социально-демографическим и поведенческим признакам. Вот 4-5 сегментов, которые могут быть интересны:
### 1. **Опытные эксперты**
- **Социально-демографические признаки**: Возраст 35-55 лет, высокий уровень образования, опыт работы в своей области более 5 лет.
- **Поведенческие признаки**: Имеют уже устоявшуюся клиентскую базу, проводят регулярные онлайн-курсы и вебинары, активно используют социальные сети для продвижения своих услуг.
- **Описание**: Эти эксперты ищут способы оптимизации своих процессов и повышения эффективности работы с клиентами. Они готовы инвестировать в инструменты, которые помогут им улучшить качество обучения и удержание учеников.
### 2. **Начинающие коучи и консультанты**
- **Социально-демографические признаки**: Возраст 25-40 лет, среднее или высшее образование, только начинают свою карьеру в качестве коучей или консультантов.
- **Поведенческие признаки**: Активно ищут информацию о том, как создать и продвигать свои курсы, используют бесплатные инструменты для ведения бизнеса, но сталкиваются с трудностями в организации процессов.
- **Описание**: Эти специалисты нуждаются в простом и доступном решении для управления своими клиентами и курсами. Они ищут платформу, которая поможет им быстро начать и избежать ошибок, связанных с хаосом в инструментах.
### 3. **Корпоративные тренеры**
- **Социально-демографические признаки**: Возраст 30-50 лет, работают в крупных компаниях или являются независимыми тренерами, часто проводят тренинги для сотрудников.
- **Поведенческие признаки**: Используют различные инструменты для организации обучения, но сталкиваются с проблемами интеграции и отслеживания прогресса участников.
- **Описание**: Эти клиенты ищут платформу, которая позволит им эффективно управлять обучением сотрудников, отслеживать результаты и взаимодействовать с участниками в одном месте.
### 4. **Авторы контента и блогеры**
- **Социально-демографические признаки**: Возраст 20-40 лет, активно ведут блоги или каналы на YouTube, имеют небольшую, но преданную аудиторию.
- **Поведенческие признаки**: Создают образовательный контент, но не имеют четкой структуры для его монетизации и взаимодействия с учениками.
- **Описание**: Эти авторы ищут способы монетизировать свой контент и организовать обучение для своей аудитории. Они заинтересованы в простом решении, которое поможет им управлять курсами и взаимодействовать с учениками.
### 5. **Специалисты по саморазвитию**
- **Социально-демографические признаки**: Возраст 30-50 лет, имеют опыт в области психологии, личностного роста или wellness.
- **Поведенческие признаки**: Проводят тренинги и семинары, но испытывают трудности с управлением клиентами и отслеживанием их прогресса.
- **Описание**: Эти специалисты ищут платформу, которая поможет им организовать свои занятия и улучшить взаимодействие с клиентами, а также повысить уровень удовлетворенности и удержания учеников.
Эта сегментация поможет более точно нацелить маркетинговые усилия и адаптировать предложения платформы «Тарис» под нужды различных групп клиентов.</t>
        </is>
      </c>
    </row>
    <row r="6">
      <c r="A6" s="2" t="inlineStr">
        <is>
          <t>Приоритетные сегменты</t>
        </is>
      </c>
      <c r="B6" s="2" t="inlineStr">
        <is>
          <t>Вот сегменты потенциальных клиентов:
Сегментация потенциальных клиентов для платформы «Тарис» может быть выполнена по социально-демографическим и поведенческим признакам. Вот 4-5 сегментов, которые могут быть интересны:
### 1. **Опытные эксперты**
- **Социально-демографические признаки**: Возраст 35-55 лет, высокий уровень образования, опыт работы в своей области более 5 лет.
- **Поведенческие признаки**: Имеют уже устоявшуюся клиентскую базу, проводят регулярные онлайн-курсы и вебинары, активно используют социальные сети для продвижения своих услуг.
- **Описание**: Эти эксперты ищут способы оптимизации своих процессов и повышения эффективности работы с клиентами. Они готовы инвестировать в инструменты, которые помогут им улучшить качество обучения и удержание учеников.
### 2. **Начинающие коучи и консультанты**
- **Социально-демографические признаки**: Возраст 25-40 лет, среднее или высшее образование, только начинают свою карьеру в качестве коучей или консультантов.
- **Поведенческие признаки**: Активно ищут информацию о том, как создать и продвигать свои курсы, используют бесплатные инструменты для ведения бизнеса, но сталкиваются с трудностями в организации процессов.
- **Описание**: Эти специалисты нуждаются в простом и доступном решении для управления своими клиентами и курсами. Они ищут платформу, которая поможет им быстро начать и избежать ошибок, связанных с хаосом в инструментах.
### 3. **Корпоративные тренеры**
- **Социально-демографические признаки**: Возраст 30-50 лет, работают в крупных компаниях или являются независимыми тренерами, часто проводят тренинги для сотрудников.
- **Поведенческие признаки**: Используют различные инструменты для организации обучения, но сталкиваются с проблемами интеграции и отслеживания прогресса участников.
- **Описание**: Эти клиенты ищут платформу, которая позволит им эффективно управлять обучением сотрудников, отслеживать результаты и взаимодействовать с участниками в одном месте.
### 4. **Авторы контента и блогеры**
- **Социально-демографические признаки**: Возраст 20-40 лет, активно ведут блоги или каналы на YouTube, имеют небольшую, но преданную аудиторию.
- **Поведенческие признаки**: Создают образовательный контент, но не имеют четкой структуры для его монетизации и взаимодействия с учениками.
- **Описание**: Эти авторы ищут способы монетизировать свой контент и организовать обучение для своей аудитории. Они заинтересованы в простом решении, которое поможет им управлять курсами и взаимодействовать с учениками.
### 5. **Специалисты по саморазвитию**
- **Социально-демографические признаки**: Возраст 30-50 лет, имеют опыт в области психологии, личностного роста или wellness.
- **Поведенческие признаки**: Проводят тренинги и семинары, но испытывают трудности с управлением клиентами и отслеживанием их прогресса.
- **Описание**: Эти специалисты ищут платформу, которая поможет им организовать свои занятия и улучшить взаимодействие с клиентами, а также повысить уровень удовлетворенности и удержания учеников.
Эта сегментация поможет более точно нацелить маркетинговые усилия и адаптировать предложения платформы «Тарис» под нужды различных групп клиентов.
Выдели и коротко опиши 2-3 сегмента, которые максимально легкодоступны для бизнеса и платёжеспособны.</t>
        </is>
      </c>
      <c r="C6" s="2">
        <f>GPT("Выдели приоритетные сегменты из..."; C2)</f>
        <v/>
      </c>
      <c r="D6" s="2" t="inlineStr">
        <is>
          <t>Для бизнеса, стремящегося к максимальной легкодоступности и платёжеспособности, наиболее привлекательными сегментами являются:
### 1. **Опытные эксперты**
- **Описание**: Этот сегмент включает профессионалов с высоким уровнем образования и значительным опытом работы. Они уже имеют устоявшуюся клиентскую базу и активно используют онлайн-форматы для обучения. Опытные эксперты готовы инвестировать в инструменты, которые помогут им оптимизировать процессы и повысить качество своих услуг. Их платёжеспособность и желание улучшать свои навыки делают их идеальными клиентами для платформы «Тарис».
### 2. **Корпоративные тренеры**
- **Описание**: Корпоративные тренеры работают в крупных компаниях или являются независимыми специалистами, которые проводят тренинги для сотрудников. Они ищут эффективные решения для управления обучением и отслеживания прогресса участников. Этот сегмент обладает высокой платёжеспособностью, так как компании готовы инвестировать в обучение своих сотрудников. Платформа, которая предлагает интегрированные решения для управления обучением, будет востребована среди корпоративных тренеров.
### 3. **Начинающие коучи и консультанты**
- **Описание**: Хотя этот сегмент может показаться менее платёжеспособным по сравнению с предыдущими, начинающие коучи и консультанты активно ищут доступные решения для старта своей карьеры. Они готовы инвестировать в инструменты, которые помогут им избежать ошибок и организовать свои процессы. Платформа, предлагающая простые и доступные решения, может привлечь этот сегмент, особенно если предложить гибкие тарифные планы или бесплатные пробные версии.
Эти сегменты представляют собой сочетание платёжеспособности и готовности к использованию новых инструментов, что делает их привлекательными для бизнеса.</t>
        </is>
      </c>
    </row>
    <row r="7">
      <c r="A7" s="2" t="inlineStr">
        <is>
          <t>Портреты</t>
        </is>
      </c>
      <c r="B7" s="2" t="inlineStr">
        <is>
          <t>Приоритетные сегменты клиентов:
Для бизнеса, стремящегося к максимальной легкодоступности и платёжеспособности, наиболее привлекательными сегментами являются:
### 1. **Опытные эксперты**
- **Описание**: Этот сегмент включает профессионалов с высоким уровнем образования и значительным опытом работы. Они уже имеют устоявшуюся клиентскую базу и активно используют онлайн-форматы для обучения. Опытные эксперты готовы инвестировать в инструменты, которые помогут им оптимизировать процессы и повысить качество своих услуг. Их платёжеспособность и желание улучшать свои навыки делают их идеальными клиентами для платформы «Тарис».
### 2. **Корпоративные тренеры**
- **Описание**: Корпоративные тренеры работают в крупных компаниях или являются независимыми специалистами, которые проводят тренинги для сотрудников. Они ищут эффективные решения для управления обучением и отслеживания прогресса участников. Этот сегмент обладает высокой платёжеспособностью, так как компании готовы инвестировать в обучение своих сотрудников. Платформа, которая предлагает интегрированные решения для управления обучением, будет востребована среди корпоративных тренеров.
### 3. **Начинающие коучи и консультанты**
- **Описание**: Хотя этот сегмент может показаться менее платёжеспособным по сравнению с предыдущими, начинающие коучи и консультанты активно ищут доступные решения для старта своей карьеры. Они готовы инвестировать в инструменты, которые помогут им избежать ошибок и организовать свои процессы. Платформа, предлагающая простые и доступные решения, может привлечь этот сегмент, особенно если предложить гибкие тарифные планы или бесплатные пробные версии.
Эти сегменты представляют собой сочетание платёжеспособности и готовности к использованию новых инструментов, что делает их привлекательными для бизнеса.
Составь подробные портреты клиентов для каждого приоритетного сегмента: возраст, профессиональный статус, чем зарабатывает, что для него важно в работе.</t>
        </is>
      </c>
      <c r="C7" s="2">
        <f>GPT("Составь портреты клиентов на основе..."; D2)</f>
        <v/>
      </c>
      <c r="D7" s="2" t="inlineStr">
        <is>
          <t>### 1. **Опытные эксперты**
- **Возраст**: 35-55 лет
- **Профессиональный статус**: Высококвалифицированные специалисты, имеющие степень магистра или доктора в своей области. Часто занимают руководящие позиции или являются признанными лидерами мнений в своей сфере.
- **Чем зарабатывает**: Основной доход получают от консультационных услуг, проведения семинаров и тренингов, а также от публикаций и авторских курсов. Часто имеют дополнительные источники дохода, такие как выступления на конференциях или участие в научных проектах.
- **Что важно в работе**: 
  - Качество и эффективность предоставляемых услуг.
  - Возможность постоянного профессионального роста и обучения.
  - Инструменты для оптимизации работы и повышения продуктивности.
  - Доступ к современным технологиям и платформам для обучения.
  - Возможность взаимодействия с другими профессионалами и обмена опытом.
### 2. **Корпоративные тренеры**
- **Возраст**: 30-50 лет
- **Профессиональный статус**: Работают в крупных компаниях или являются независимыми консультантами. Часто имеют опыт работы в HR или управлении обучением. Могут быть сертифицированными тренерами или коучами.
- **Чем зарабатывает**: Основной доход формируется от контрактов с компаниями на проведение тренингов и семинаров. Также могут получать доход от разработки обучающих программ и материалов.
- **Что важно в работе**: 
  - Эффективные инструменты для управления обучением и отслеживания прогресса участников.
  - Возможность адаптации программ под конкретные нужды компании.
  - Доступ к аналитике и отчетности для оценки эффективности обучения.
  - Поддержка и ресурсы для постоянного профессионального развития.
  - Гибкость в использовании платформы и возможность интеграции с другими системами.
### 3. **Начинающие коучи и консультанты**
- **Возраст**: 25-40 лет
- **Профессиональный статус**: Недавние выпускники или специалисты, которые решили сменить карьеру и начать свою практику в коучинге или консультировании. Часто имеют базовое образование в смежных областях, таких как психология, бизнес или образование.
- **Чем зарабатывает**: Основной доход формируется от индивидуальных консультаций, проведения небольших тренингов и семинаров. Могут также зарабатывать на создании контента, например, ведении блогов или видеоканалов.
- **Что важно в работе**: 
  - Доступные и простые в использовании инструменты для организации работы.
  - Возможность получения знаний и навыков для успешного старта карьеры.
  - Гибкие тарифные планы и бесплатные пробные версии, чтобы минимизировать риски.
  - Поддержка сообщества и возможность обмена опытом с более опытными коллегами.
  - Ресурсы для маркетинга и продвижения своих услуг. 
Эти портреты клиентов помогут лучше понять потребности и мотивацию каждого сегмента, что, в свою очередь, позволит более эффективно разрабатывать и предлагать решения, соответствующие их ожиданиям.</t>
        </is>
      </c>
    </row>
    <row r="8">
      <c r="A8" s="2" t="inlineStr">
        <is>
          <t>Клиентские задачи</t>
        </is>
      </c>
      <c r="B8" s="2" t="inlineStr">
        <is>
          <t>Продукт: «Тарис» — платформа для экспертов (авторов онлайн-курсов, коучей, консультантов), которая объединяет в одном месте общение с учениками, обучение (уроки, задания, отслеживание прогресса) и ведение клиентов (CRM, оплаты, напоминания) — вместо того чтобы вручную склеивать Telegram, Google-документы и таблицы. Дополнительно продаётся аудит текущих процессов эксперта и внедрение платформы под его задачи. Целевая аудитория — эксперты, которые ведут собственные онлайн-курсы и теряют учеников и деньги из-за хаоса в разрозненных инструментах.
Портреты клиентов:
### 1. **Опытные эксперты**
- **Возраст**: 35-55 лет
- **Профессиональный статус**: Высококвалифицированные специалисты, имеющие степень магистра или доктора в своей области. Часто занимают руководящие позиции или являются признанными лидерами мнений в своей сфере.
- **Чем зарабатывает**: Основной доход получают от консультационных услуг, проведения семинаров и тренингов, а также от публикаций и авторских курсов. Часто имеют дополнительные источники дохода, такие как выступления на конференциях или участие в научных проектах.
- **Что важно в работе**: 
  - Качество и эффективность предоставляемых услуг.
  - Возможность постоянного профессионального роста и обучения.
  - Инструменты для оптимизации работы и повышения продуктивности.
  - Доступ к современным технологиям и платформам для обучения.
  - Возможность взаимодействия с другими профессионалами и обмена опытом.
### 2. **Корпоративные тренеры**
- **Возраст**: 30-50 лет
- **Профессиональный статус**: Работают в крупных компаниях или являются независимыми консультантами. Часто имеют опыт работы в HR или управлении обучением. Могут быть сертифицированными тренерами или коучами.
- **Чем зарабатывает**: Основной доход формируется от контрактов с компаниями на проведение тренингов и семинаров. Также могут получать доход от разработки обучающих программ и материалов.
- **Что важно в работе**: 
  - Эффективные инструменты для управления обучением и отслеживания прогресса участников.
  - Возможность адаптации программ под конкретные нужды компании.
  - Доступ к аналитике и отчетности для оценки эффективности обучения.
  - Поддержка и ресурсы для постоянного профессионального развития.
  - Гибкость в использовании платформы и возможность интеграции с другими системами.
### 3. **Начинающие коучи и консультанты**
- **Возраст**: 25-40 лет
- **Профессиональный статус**: Недавние выпускники или специалисты, которые решили сменить карьеру и начать свою практику в коучинге или консультировании. Часто имеют базовое образование в смежных областях, таких как психология, бизнес или образование.
- **Чем зарабатывает**: Основной доход формируется от индивидуальных консультаций, проведения небольших тренингов и семинаров. Могут также зарабатывать на создании контента, например, ведении блогов или видеоканалов.
- **Что важно в работе**: 
  - Доступные и простые в использовании инструменты для организации работы.
  - Возможность получения знаний и навыков для успешного старта карьеры.
  - Гибкие тарифные планы и бесплатные пробные версии, чтобы минимизировать риски.
  - Поддержка сообщества и возможность обмена опытом с более опытными коллегами.
  - Ресурсы для маркетинга и продвижения своих услуг. 
Эти портреты клиентов помогут лучше понять потребности и мотивацию каждого сегмента, что, в свою очередь, позволит более эффективно разрабатывать и предлагать решения, соответствующие их ожиданиям.
Выдели 10 важных JTBD (Jobs To Be Done) потенциальных клиентов для этого продукта.</t>
        </is>
      </c>
      <c r="C8" s="2">
        <f>GPT("Выдели 10 важных JTBD для..."; E2)</f>
        <v/>
      </c>
      <c r="D8" s="2" t="inlineStr">
        <is>
          <t>Вот 10 важных JTBD (Jobs To Be Done) для потенциальных клиентов платформы «Тарис»:
1. **Упрощение управления обучением**: Я хочу иметь возможность легко организовывать и управлять своими курсами и тренингами, чтобы не тратить время на ручное ведение записей и отслеживание прогресса учеников.
2. **Оптимизация взаимодействия с учениками**: Я хочу иметь централизованную платформу для общения с учениками, чтобы улучшить их вовлеченность и снизить количество пропусков занятий.
3. **Автоматизация процессов**: Я хочу автоматизировать процессы оплаты, напоминаний и обратной связи, чтобы сосредоточиться на обучении и консультировании, а не на административных задачах.
4. **Анализ эффективности обучения**: Я хочу получать доступ к аналитике и отчетам о прогрессе учеников, чтобы оценивать эффективность своих программ и вносить необходимые изменения.
5. **Адаптация контента под нужды клиентов**: Я хочу иметь возможность легко адаптировать свои курсы и тренинги под конкретные запросы и потребности клиентов, чтобы повысить их удовлетворенность.
6. **Поддержка профессионального роста**: Я хочу иметь доступ к ресурсам и инструментам, которые помогут мне развивать свои навыки и оставаться в курсе последних тенденций в обучении и коучинге.
7. **Создание и распространение контента**: Я хочу иметь возможность легко создавать и делиться обучающими материалами, чтобы привлекать новых клиентов и расширять свою аудиторию.
8. **Гибкость в использовании платформы**: Я хочу, чтобы платформа была гибкой и позволяла интегрироваться с другими системами, которые я уже использую, чтобы не терять время на обучение новым инструментам.
9. **Поддержка сообщества**: Я хочу иметь возможность взаимодействовать с другими экспертами и получать поддержку от сообщества, чтобы обмениваться опытом и находить новые идеи для своих курсов.
10. **Минимизация рисков при старте**: Я хочу иметь возможность протестировать платформу и ее функции через бесплатные пробные версии или гибкие тарифные планы, чтобы убедиться, что она соответствует моим потребностям, прежде чем делать долгосрочные инвестиции. 
Эти JTBD помогут лучше понять, какие конкретные задачи и потребности стоят перед клиентами, и как платформа «Тарис» может их удовлетворить.</t>
        </is>
      </c>
    </row>
    <row r="9">
      <c r="A9" s="2" t="inlineStr">
        <is>
          <t>JTBD для контента</t>
        </is>
      </c>
      <c r="B9" s="2" t="inlineStr">
        <is>
          <t>Список JTBD клиентов:
Вот 10 важных JTBD (Jobs To Be Done) для потенциальных клиентов платформы «Тарис»:
1. **Упрощение управления обучением**: Я хочу иметь возможность легко организовывать и управлять своими курсами и тренингами, чтобы не тратить время на ручное ведение записей и отслеживание прогресса учеников.
2. **Оптимизация взаимодействия с учениками**: Я хочу иметь централизованную платформу для общения с учениками, чтобы улучшить их вовлеченность и снизить количество пропусков занятий.
3. **Автоматизация процессов**: Я хочу автоматизировать процессы оплаты, напоминаний и обратной связи, чтобы сосредоточиться на обучении и консультировании, а не на административных задачах.
4. **Анализ эффективности обучения**: Я хочу получать доступ к аналитике и отчетам о прогрессе учеников, чтобы оценивать эффективность своих программ и вносить необходимые изменения.
5. **Адаптация контента под нужды клиентов**: Я хочу иметь возможность легко адаптировать свои курсы и тренинги под конкретные запросы и потребности клиентов, чтобы повысить их удовлетворенность.
6. **Поддержка профессионального роста**: Я хочу иметь доступ к ресурсам и инструментам, которые помогут мне развивать свои навыки и оставаться в курсе последних тенденций в обучении и коучинге.
7. **Создание и распространение контента**: Я хочу иметь возможность легко создавать и делиться обучающими материалами, чтобы привлекать новых клиентов и расширять свою аудиторию.
8. **Гибкость в использовании платформы**: Я хочу, чтобы платформа была гибкой и позволяла интегрироваться с другими системами, которые я уже использую, чтобы не терять время на обучение новым инструментам.
9. **Поддержка сообщества**: Я хочу иметь возможность взаимодействовать с другими экспертами и получать поддержку от сообщества, чтобы обмениваться опытом и находить новые идеи для своих курсов.
10. **Минимизация рисков при старте**: Я хочу иметь возможность протестировать платформу и ее функции через бесплатные пробные версии или гибкие тарифные планы, чтобы убедиться, что она соответствует моим потребностям, прежде чем делать долгосрочные инвестиции. 
Эти JTBD помогут лучше понять, какие конкретные задачи и потребности стоят перед клиентами, и как платформа «Тарис» может их удовлетворить.
Выбери пять наиболее удачных JTBD среди предложенных для раскрытия через контент-маркетинг. Коротко напиши, как каждый можно раскрыть в контенте.</t>
        </is>
      </c>
      <c r="C9" s="2">
        <f>GPT("Выбери 5 JTBD для контента из..."; F2)</f>
        <v/>
      </c>
      <c r="D9" s="2" t="inlineStr">
        <is>
          <t>Вот пять наиболее удачных JTBD для раскрытия через контент-маркетинг, а также идеи для их реализации:
1. **Упрощение управления обучением**:
   - **Контент**: Создание серии статей или видеороликов, в которых демонстрируются лучшие практики управления обучением с использованием платформы «Тарис». Можно включить пошаговые инструкции, примеры успешных кейсов и советы по оптимизации процессов. Также можно провести вебинар, где эксперты поделятся своим опытом.
2. **Анализ эффективности обучения**:
   - **Контент**: Подготовка инфографики и отчетов, показывающих, как аналитика может помочь в оценке прогресса учеников. Можно создать обучающие материалы о том, как интерпретировать данные и вносить изменения в программы на основе полученных результатов. Также стоит рассмотреть возможность создания кейс-стадии с примерами успешного применения аналитики.
3. **Автоматизация процессов**:
   - **Контент**: Написание блога о том, как автоматизация может освободить время для более важных задач, таких как обучение и консультирование. Включите примеры автоматизированных процессов, таких как напоминания и оплата, и расскажите о том, как это влияет на эффективность работы. Видеоуроки по настройке автоматизации на платформе также будут полезны.
4. **Гибкость в использовании платформы**:
   - **Контент**: Создание статей и видео о том, как «Тарис» интегрируется с другими популярными инструментами и системами. Можно провести интервью с пользователями, которые делятся своим опытом интеграции и тем, как это упростило их работу. Также стоит рассмотреть создание руководств по интеграции с конкретными системами.
5. **Минимизация рисков при старте**:
   - **Контент**: Подготовка материалов, которые объясняют преимущества бесплатных пробных версий и гибких тарифных планов. Можно создать серию статей, в которых пользователи делятся своим опытом тестирования платформы и как это помогло им принять решение о долгосрочных инвестициях. Вебинары с вопросами и ответами также могут помочь развеять сомнения потенциальных клиентов.
Эти темы не только помогут привлечь внимание к платформе «Тарис», но и продемонстрируют ее ценность для потенциальных клиентов, решая их конкретные задачи и потребности.</t>
        </is>
      </c>
    </row>
    <row r="10">
      <c r="A10" s="2" t="inlineStr">
        <is>
          <t>Креативы</t>
        </is>
      </c>
      <c r="B10" s="2" t="inlineStr">
        <is>
          <t>JTBD для контента:
Вот пять наиболее удачных JTBD для раскрытия через контент-маркетинг, а также идеи для их реализации:
1. **Упрощение управления обучением**:
   - **Контент**: Создание серии статей или видеороликов, в которых демонстрируются лучшие практики управления обучением с использованием платформы «Тарис». Можно включить пошаговые инструкции, примеры успешных кейсов и советы по оптимизации процессов. Также можно провести вебинар, где эксперты поделятся своим опытом.
2. **Анализ эффективности обучения**:
   - **Контент**: Подготовка инфографики и отчетов, показывающих, как аналитика может помочь в оценке прогресса учеников. Можно создать обучающие материалы о том, как интерпретировать данные и вносить изменения в программы на основе полученных результатов. Также стоит рассмотреть возможность создания кейс-стадии с примерами успешного применения аналитики.
3. **Автоматизация процессов**:
   - **Контент**: Написание блога о том, как автоматизация может освободить время для более важных задач, таких как обучение и консультирование. Включите примеры автоматизированных процессов, таких как напоминания и оплата, и расскажите о том, как это влияет на эффективность работы. Видеоуроки по настройке автоматизации на платформе также будут полезны.
4. **Гибкость в использовании платформы**:
   - **Контент**: Создание статей и видео о том, как «Тарис» интегрируется с другими популярными инструментами и системами. Можно провести интервью с пользователями, которые делятся своим опытом интеграции и тем, как это упростило их работу. Также стоит рассмотреть создание руководств по интеграции с конкретными системами.
5. **Минимизация рисков при старте**:
   - **Контент**: Подготовка материалов, которые объясняют преимущества бесплатных пробных версий и гибких тарифных планов. Можно создать серию статей, в которых пользователи делятся своим опытом тестирования платформы и как это помогло им принять решение о долгосрочных инвестициях. Вебинары с вопросами и ответами также могут помочь развеять сомнения потенциальных клиентов.
Эти темы не только помогут привлечь внимание к платформе «Тарис», но и продемонстрируют ее ценность для потенциальных клиентов, решая их конкретные задачи и потребности.
Напиши 3 коротких продающих заголовка для рекламных креативов, отталкивающихся от этих JTBD.</t>
        </is>
      </c>
      <c r="C10" s="2">
        <f>GPT("Напиши 3 продающих заголовка на основе..."; G2)</f>
        <v/>
      </c>
      <c r="D10" s="2" t="inlineStr">
        <is>
          <t>Вот три коротких продающих заголовка для рекламных креативов, основанных на предложенных JTBD:
1. **"Управляйте обучением легко: откройте для себя лучшие практики с Тарис!"**
2. **"Измеряйте успех: узнайте, как аналитика может трансформировать ваше обучение!"**
3. **"Автоматизируйте рутину: освободите время для важного с помощью Тарис!"**</t>
        </is>
      </c>
    </row>
    <row r="11">
      <c r="A11" s="2" t="inlineStr">
        <is>
          <t>Потребности</t>
        </is>
      </c>
      <c r="B11" s="2" t="inlineStr">
        <is>
          <t>Продукт: «Тарис» — платформа для экспертов (авторов онлайн-курсов, коучей, консультантов), которая объединяет в одном месте общение с учениками, обучение (уроки, задания, отслеживание прогресса) и ведение клиентов (CRM, оплаты, напоминания) — вместо того чтобы вручную склеивать Telegram, Google-документы и таблицы. Дополнительно продаётся аудит текущих процессов эксперта и внедрение платформы под его задачи. Целевая аудитория — эксперты, которые ведут собственные онлайн-курсы и теряют учеников и деньги из-за хаоса в разрозненных инструментах.
Портреты клиентов:
### 1. **Опытные эксперты**
- **Возраст**: 35-55 лет
- **Профессиональный статус**: Высококвалифицированные специалисты, имеющие степень магистра или доктора в своей области. Часто занимают руководящие позиции или являются признанными лидерами мнений в своей сфере.
- **Чем зарабатывает**: Основной доход получают от консультационных услуг, проведения семинаров и тренингов, а также от публикаций и авторских курсов. Часто имеют дополнительные источники дохода, такие как выступления на конференциях или участие в научных проектах.
- **Что важно в работе**: 
  - Качество и эффективность предоставляемых услуг.
  - Возможность постоянного профессионального роста и обучения.
  - Инструменты для оптимизации работы и повышения продуктивности.
  - Доступ к современным технологиям и платформам для обучения.
  - Возможность взаимодействия с другими профессионалами и обмена опытом.
### 2. **Корпоративные тренеры**
- **Возраст**: 30-50 лет
- **Профессиональный статус**: Работают в крупных компаниях или являются независимыми консультантами. Часто имеют опыт работы в HR или управлении обучением. Могут быть сертифицированными тренерами или коучами.
- **Чем зарабатывает**: Основной доход формируется от контрактов с компаниями на проведение тренингов и семинаров. Также могут получать доход от разработки обучающих программ и материалов.
- **Что важно в работе**: 
  - Эффективные инструменты для управления обучением и отслеживания прогресса участников.
  - Возможность адаптации программ под конкретные нужды компании.
  - Доступ к аналитике и отчетности для оценки эффективности обучения.
  - Поддержка и ресурсы для постоянного профессионального развития.
  - Гибкость в использовании платформы и возможность интеграции с другими системами.
### 3. **Начинающие коучи и консультанты**
- **Возраст**: 25-40 лет
- **Профессиональный статус**: Недавние выпускники или специалисты, которые решили сменить карьеру и начать свою практику в коучинге или консультировании. Часто имеют базовое образование в смежных областях, таких как психология, бизнес или образование.
- **Чем зарабатывает**: Основной доход формируется от индивидуальных консультаций, проведения небольших тренингов и семинаров. Могут также зарабатывать на создании контента, например, ведении блогов или видеоканалов.
- **Что важно в работе**: 
  - Доступные и простые в использовании инструменты для организации работы.
  - Возможность получения знаний и навыков для успешного старта карьеры.
  - Гибкие тарифные планы и бесплатные пробные версии, чтобы минимизировать риски.
  - Поддержка сообщества и возможность обмена опытом с более опытными коллегами.
  - Ресурсы для маркетинга и продвижения своих услуг. 
Эти портреты клиентов помогут лучше понять потребности и мотивацию каждого сегмента, что, в свою очередь, позволит более эффективно разрабатывать и предлагать решения, соответствующие их ожиданиям.
Опиши список ключевых потребностей потенциальных клиентов этого продукта.</t>
        </is>
      </c>
      <c r="C11" s="2">
        <f>GPT("Опиши потребности клиентов для..."; D2)</f>
        <v/>
      </c>
      <c r="D11" s="2" t="inlineStr">
        <is>
          <t>Вот список ключевых потребностей потенциальных клиентов платформы «Тарис», основанный на описанных портретах клиентов:
### 1. **Опытные эксперты**
- **Эффективность и качество услуг**: Необходимость в инструментах, которые помогут повысить качество предоставляемых услуг и оптимизировать рабочие процессы.
- **Профессиональный рост**: Потребность в постоянном обучении и доступе к новым знаниям и технологиям.
- **Интеграция инструментов**: Желание иметь все необходимые функции (общение, обучение, CRM) в одном месте, чтобы избежать хаоса и потерь времени.
- **Сетевое взаимодействие**: Возможность обмена опытом и взаимодействия с другими профессионалами в своей области.
- **Аналитика и отчетность**: Необходимость в инструментах для отслеживания прогресса учеников и оценки эффективности курсов.
### 2. **Корпоративные тренеры**
- **Управление обучением**: Потребность в эффективных инструментах для управления процессом обучения и отслеживания прогресса участников.
- **Адаптация программ**: Возможность настраивать и адаптировать обучающие программы под конкретные нужды компаний.
- **Аналитика и отчетность**: Необходимость в доступе к аналитическим данным для оценки результатов обучения и его эффективности.
- **Гибкость и интеграция**: Потребность в гибкости использования платформы и возможности интеграции с другими системами, используемыми в компании.
- **Поддержка и ресурсы**: Необходимость в постоянной поддержке и доступе к ресурсам для профессионального развития.
### 3. **Начинающие коучи и консультанты**
- **Простота использования**: Потребность в доступных и интуитивно понятных инструментах для организации работы и взаимодействия с клиентами.
- **Обучение и развитие**: Желание получать знания и навыки, необходимые для успешного старта карьеры в коучинге или консультировании.
- **Гибкие тарифные планы**: Необходимость в доступных тарифах и бесплатных пробных версиях, чтобы минимизировать финансовые риски.
- **Сообщество и поддержка**: Потребность в поддержке сообщества и возможности обмена опытом с более опытными коллегами.
- **Маркетинг и продвижение**: Необходимость в ресурсах и инструментах для эффективного продвижения своих услуг и привлечения клиентов.
### Общие потребности для всех сегментов
- **Упрощение процессов**: Потребность в автоматизации рутинных задач и упрощении процессов взаимодействия с учениками и клиентами.
- **Доступ к современным технологиям**: Желание использовать современные платформы и инструменты для повышения продуктивности и качества работы.
- **Поддержка и обучение**: Необходимость в обучении по использованию платформы и поддержке в процессе внедрения.
Эти потребности помогут в дальнейшем развитии платформы «Тарис» и в создании предложений, которые будут максимально соответствовать ожиданиям и требованиям целевой аудитории.</t>
        </is>
      </c>
    </row>
    <row r="12">
      <c r="A12" s="2" t="inlineStr">
        <is>
          <t>Раскрытие потребностей</t>
        </is>
      </c>
      <c r="B12" s="2" t="inlineStr">
        <is>
          <t>Потребности клиентов:
Вот список ключевых потребностей потенциальных клиентов платформы «Тарис», основанный на описанных портретах клиентов:
### 1. **Опытные эксперты**
- **Эффективность и качество услуг**: Необходимость в инструментах, которые помогут повысить качество предоставляемых услуг и оптимизировать рабочие процессы.
- **Профессиональный рост**: Потребность в постоянном обучении и доступе к новым знаниям и технологиям.
- **Интеграция инструментов**: Желание иметь все необходимые функции (общение, обучение, CRM) в одном месте, чтобы избежать хаоса и потерь времени.
- **Сетевое взаимодействие**: Возможность обмена опытом и взаимодействия с другими профессионалами в своей области.
- **Аналитика и отчетность**: Необходимость в инструментах для отслеживания прогресса учеников и оценки эффективности курсов.
### 2. **Корпоративные тренеры**
- **Управление обучением**: Потребность в эффективных инструментах для управления процессом обучения и отслеживания прогресса участников.
- **Адаптация программ**: Возможность настраивать и адаптировать обучающие программы под конкретные нужды компаний.
- **Аналитика и отчетность**: Необходимость в доступе к аналитическим данным для оценки результатов обучения и его эффективности.
- **Гибкость и интеграция**: Потребность в гибкости использования платформы и возможности интеграции с другими системами, используемыми в компании.
- **Поддержка и ресурсы**: Необходимость в постоянной поддержке и доступе к ресурсам для профессионального развития.
### 3. **Начинающие коучи и консультанты**
- **Простота использования**: Потребность в доступных и интуитивно понятных инструментах для организации работы и взаимодействия с клиентами.
- **Обучение и развитие**: Желание получать знания и навыки, необходимые для успешного старта карьеры в коучинге или консультировании.
- **Гибкие тарифные планы**: Необходимость в доступных тарифах и бесплатных пробных версиях, чтобы минимизировать финансовые риски.
- **Сообщество и поддержка**: Потребность в поддержке сообщества и возможности обмена опытом с более опытными коллегами.
- **Маркетинг и продвижение**: Необходимость в ресурсах и инструментах для эффективного продвижения своих услуг и привлечения клиентов.
### Общие потребности для всех сегментов
- **Упрощение процессов**: Потребность в автоматизации рутинных задач и упрощении процессов взаимодействия с учениками и клиентами.
- **Доступ к современным технологиям**: Желание использовать современные платформы и инструменты для повышения продуктивности и качества работы.
- **Поддержка и обучение**: Необходимость в обучении по использованию платформы и поддержке в процессе внедрения.
Эти потребности помогут в дальнейшем развитии платформы «Тарис» и в создании предложений, которые будут максимально соответствовать ожиданиям и требованиям целевой аудитории.
Опиши, как раскрыть эти потребности на сайте продукта или в презентации, чтобы клиент увидел прямое попадание в свою ситуацию.</t>
        </is>
      </c>
      <c r="C12" s="2">
        <f>GPT("Опиши способ раскрыть потребности..."; I2)</f>
        <v/>
      </c>
      <c r="D12" s="2" t="inlineStr">
        <is>
          <t>Чтобы эффективно раскрыть потребности клиентов на сайте продукта или в презентации платформы «Тарис», важно использовать подход, который будет ориентирован на конкретные сегменты аудитории и их уникальные потребности. Вот несколько стратегий, которые помогут сделать это:
### 1. **Сегментация контента**
Создайте отдельные разделы или страницы для каждой группы клиентов (опытные эксперты, корпоративные тренеры, начинающие коучи и консультанты). Это позволит каждому посетителю сайта быстро найти информацию, которая наиболее актуальна для него.
### 2. **Персонализированные сообщения**
Используйте персонализированные заголовки и подзаголовки, которые отражают ключевые потребности каждой группы. Например:
- Для опытных экспертов: «Увеличьте эффективность и качество ваших услуг с помощью интегрированных инструментов».
- Для корпоративных тренеров: «Управляйте обучением с легкостью и адаптируйте программы под нужды вашей компании».
- Для начинающих коучей: «Начните карьеру в коучинге с интуитивно понятными инструментами и поддержкой сообщества».
### 3. **Кейсы и примеры**
Представьте реальные примеры использования платформы «Тарис» от клиентов из каждой группы. Это могут быть истории успеха, отзывы или видеоинтервью, которые демонстрируют, как платформа помогла решить конкретные проблемы и удовлетворить потребности.
### 4. **Интерактивные элементы**
Добавьте интерактивные элементы, такие как опросы или квизы, которые помогут пользователям определить, какие функции платформы наиболее соответствуют их потребностям. Это создаст ощущение вовлеченности и персонализированного подхода.
### 5. **Демонстрация функций**
Создайте видеоролики или анимации, которые наглядно показывают, как конкретные функции платформы решают проблемы клиентов. Например, можно продемонстрировать, как легко адаптировать обучающие программы или как использовать аналитику для отслеживания прогресса.
### 6. **Часто задаваемые вопросы (FAQ)**
Разработайте раздел FAQ, где будут собраны ответы на наиболее распространенные вопросы, касающиеся потребностей каждой группы. Это поможет развеять сомнения и показать, что вы понимаете их проблемы.
### 7. **Блог и образовательные материалы**
Создайте блог с полезными статьями, вебинарами и руководствами, которые помогут клиентам развивать свои навыки и знания. Это не только продемонстрирует вашу экспертизу, но и покажет, что вы заинтересованы в их профессиональном росте.
### 8. **Поддержка и обучение**
Отдельно выделите информацию о поддержке и обучении, которые вы предлагаете. Убедитесь, что клиенты понимают, что они не останутся одни после покупки, и что у них будет доступ к ресурсам и помощи.
### 9. **Призыв к действию**
Каждая страница должна содержать четкий призыв к действию, который побуждает клиентов зарегистрироваться, запросить демонстрацию или начать бесплатный пробный период. Это поможет перевести интерес в конкретные действия.
### 10. **Адаптивный дизайн**
Убедитесь, что сайт адаптивен и удобен для использования на мобильных устройствах, так как многие пользователи могут обращаться к платформе с телефонов или планшетов.
Следуя этим рекомендациям, вы сможете создать сайт или презентацию, которые не только привлекут внимание клиентов, но и покажут, как платформа «Тарис» может удовлетворить их потребности и помочь в достижении целей.</t>
        </is>
      </c>
    </row>
    <row r="13">
      <c r="A13" s="2" t="inlineStr">
        <is>
          <t>Контент-план</t>
        </is>
      </c>
      <c r="B13" s="2" t="inlineStr">
        <is>
          <t>Потребности клиентов:
Вот список ключевых потребностей потенциальных клиентов платформы «Тарис», основанный на описанных портретах клиентов:
### 1. **Опытные эксперты**
- **Эффективность и качество услуг**: Необходимость в инструментах, которые помогут повысить качество предоставляемых услуг и оптимизировать рабочие процессы.
- **Профессиональный рост**: Потребность в постоянном обучении и доступе к новым знаниям и технологиям.
- **Интеграция инструментов**: Желание иметь все необходимые функции (общение, обучение, CRM) в одном месте, чтобы избежать хаоса и потерь времени.
- **Сетевое взаимодействие**: Возможность обмена опытом и взаимодействия с другими профессионалами в своей области.
- **Аналитика и отчетность**: Необходимость в инструментах для отслеживания прогресса учеников и оценки эффективности курсов.
### 2. **Корпоративные тренеры**
- **Управление обучением**: Потребность в эффективных инструментах для управления процессом обучения и отслеживания прогресса участников.
- **Адаптация программ**: Возможность настраивать и адаптировать обучающие программы под конкретные нужды компаний.
- **Аналитика и отчетность**: Необходимость в доступе к аналитическим данным для оценки результатов обучения и его эффективности.
- **Гибкость и интеграция**: Потребность в гибкости использования платформы и возможности интеграции с другими системами, используемыми в компании.
- **Поддержка и ресурсы**: Необходимость в постоянной поддержке и доступе к ресурсам для профессионального развития.
### 3. **Начинающие коучи и консультанты**
- **Простота использования**: Потребность в доступных и интуитивно понятных инструментах для организации работы и взаимодействия с клиентами.
- **Обучение и развитие**: Желание получать знания и навыки, необходимые для успешного старта карьеры в коучинге или консультировании.
- **Гибкие тарифные планы**: Необходимость в доступных тарифах и бесплатных пробных версиях, чтобы минимизировать финансовые риски.
- **Сообщество и поддержка**: Потребность в поддержке сообщества и возможности обмена опытом с более опытными коллегами.
- **Маркетинг и продвижение**: Необходимость в ресурсах и инструментах для эффективного продвижения своих услуг и привлечения клиентов.
### Общие потребности для всех сегментов
- **Упрощение процессов**: Потребность в автоматизации рутинных задач и упрощении процессов взаимодействия с учениками и клиентами.
- **Доступ к современным технологиям**: Желание использовать современные платформы и инструменты для повышения продуктивности и качества работы.
- **Поддержка и обучение**: Необходимость в обучении по использованию платформы и поддержке в процессе внедрения.
Эти потребности помогут в дальнейшем развитии платформы «Тарис» и в создании предложений, которые будут максимально соответствовать ожиданиям и требованиям целевой аудитории.
JTBD для контента:
Вот пять наиболее удачных JTBD для раскрытия через контент-маркетинг, а также идеи для их реализации:
1. **Упрощение управления обучением**:
   - **Контент**: Создание серии статей или видеороликов, в которых демонстрируются лучшие практики управления обучением с использованием платформы «Тарис». Можно включить пошаговые инструкции, примеры успешных кейсов и советы по оптимизации процессов. Также можно провести вебинар, где эксперты поделятся своим опытом.
2. **Анализ эффективности обучения**:
   - **Контент**: Подготовка инфографики и отчетов, показывающих, как аналитика может помочь в оценке прогресса учеников. Можно создать обучающие материалы о том, как интерпретировать данные и вносить изменения в программы на основе полученных результатов. Также стоит рассмотреть возможность создания кейс-стадии с примерами успешного применения аналитики.
3. **Автоматизация процессов**:
   - **Контент**: Написание блога о том, как автоматизация может освободить время для более важных задач, таких как обучение и консультирование. Включите примеры автоматизированных процессов, таких как напоминания и оплата, и расскажите о том, как это влияет на эффективность работы. Видеоуроки по настройке автоматизации на платформе также будут полезны.
4. **Гибкость в использовании платформы**:
   - **Контент**: Создание статей и видео о том, как «Тарис» интегрируется с другими популярными инструментами и системами. Можно провести интервью с пользователями, которые делятся своим опытом интеграции и тем, как это упростило их работу. Также стоит рассмотреть создание руководств по интеграции с конкретными системами.
5. **Минимизация рисков при старте**:
   - **Контент**: Подготовка материалов, которые объясняют преимущества бесплатных пробных версий и гибких тарифных планов. Можно создать серию статей, в которых пользователи делятся своим опытом тестирования платформы и как это помогло им принять решение о долгосрочных инвестициях. Вебинары с вопросами и ответами также могут помочь развеять сомнения потенциальных клиентов.
Эти темы не только помогут привлечь внимание к платформе «Тарис», но и продемонстрируют ее ценность для потенциальных клиентов, решая их конкретные задачи и потребности.
Составь короткий контент-план на неделю для соцсети ВКонтакте: 5 тем постов по дням, каждая тема — 1 строка.</t>
        </is>
      </c>
      <c r="C13" s="2">
        <f>GPT("Сделай контент-план на неделю на основе..."; I2:J2)</f>
        <v/>
      </c>
      <c r="D13" s="2" t="inlineStr">
        <is>
          <t>### Контент-план на неделю для соцсети ВКонтакте
**Понедельник**: Пост о лучших практиках управления обучением с использованием платформы «Тарис» — пошаговая инструкция.
**Вторник**: Инфографика о том, как аналитика помогает оценить прогресс учеников и улучшить программы обучения.
**Среда**: Блог о преимуществах автоматизации процессов в обучении и консультировании — примеры и советы.
**Четверг**: Видео-интервью с пользователями о том, как интеграция «Тарис» с другими инструментами упростила их работу.
**Пятница**: Пост о преимуществах бесплатных пробных версий и гибких тарифных планов — истории успеха пользователей.</t>
        </is>
      </c>
    </row>
    <row r="14">
      <c r="A14" s="2" t="inlineStr">
        <is>
          <t>Боли и страхи</t>
        </is>
      </c>
      <c r="B14" s="2" t="inlineStr">
        <is>
          <t>Портреты клиентов:
### 1. **Опытные эксперты**
- **Возраст**: 35-55 лет
- **Профессиональный статус**: Высококвалифицированные специалисты, имеющие степень магистра или доктора в своей области. Часто занимают руководящие позиции или являются признанными лидерами мнений в своей сфере.
- **Чем зарабатывает**: Основной доход получают от консультационных услуг, проведения семинаров и тренингов, а также от публикаций и авторских курсов. Часто имеют дополнительные источники дохода, такие как выступления на конференциях или участие в научных проектах.
- **Что важно в работе**: 
  - Качество и эффективность предоставляемых услуг.
  - Возможность постоянного профессионального роста и обучения.
  - Инструменты для оптимизации работы и повышения продуктивности.
  - Доступ к современным технологиям и платформам для обучения.
  - Возможность взаимодействия с другими профессионалами и обмена опытом.
### 2. **Корпоративные тренеры**
- **Возраст**: 30-50 лет
- **Профессиональный статус**: Работают в крупных компаниях или являются независимыми консультантами. Часто имеют опыт работы в HR или управлении обучением. Могут быть сертифицированными тренерами или коучами.
- **Чем зарабатывает**: Основной доход формируется от контрактов с компаниями на проведение тренингов и семинаров. Также могут получать доход от разработки обучающих программ и материалов.
- **Что важно в работе**: 
  - Эффективные инструменты для управления обучением и отслеживания прогресса участников.
  - Возможность адаптации программ под конкретные нужды компании.
  - Доступ к аналитике и отчетности для оценки эффективности обучения.
  - Поддержка и ресурсы для постоянного профессионального развития.
  - Гибкость в использовании платформы и возможность интеграции с другими системами.
### 3. **Начинающие коучи и консультанты**
- **Возраст**: 25-40 лет
- **Профессиональный статус**: Недавние выпускники или специалисты, которые решили сменить карьеру и начать свою практику в коучинге или консультировании. Часто имеют базовое образование в смежных областях, таких как психология, бизнес или образование.
- **Чем зарабатывает**: Основной доход формируется от индивидуальных консультаций, проведения небольших тренингов и семинаров. Могут также зарабатывать на создании контента, например, ведении блогов или видеоканалов.
- **Что важно в работе**: 
  - Доступные и простые в использовании инструменты для организации работы.
  - Возможность получения знаний и навыков для успешного старта карьеры.
  - Гибкие тарифные планы и бесплатные пробные версии, чтобы минимизировать риски.
  - Поддержка сообщества и возможность обмена опытом с более опытными коллегами.
  - Ресурсы для маркетинга и продвижения своих услуг. 
Эти портреты клиентов помогут лучше понять потребности и мотивацию каждого сегмента, что, в свою очередь, позволит более эффективно разрабатывать и предлагать решения, соответствующие их ожиданиям.
Потребности:
Вот список ключевых потребностей потенциальных клиентов платформы «Тарис», основанный на описанных портретах клиентов:
### 1. **Опытные эксперты**
- **Эффективность и качество услуг**: Необходимость в инструментах, которые помогут повысить качество предоставляемых услуг и оптимизировать рабочие процессы.
- **Профессиональный рост**: Потребность в постоянном обучении и доступе к новым знаниям и технологиям.
- **Интеграция инструментов**: Желание иметь все необходимые функции (общение, обучение, CRM) в одном месте, чтобы избежать хаоса и потерь времени.
- **Сетевое взаимодействие**: Возможность обмена опытом и взаимодействия с другими профессионалами в своей области.
- **Аналитика и отчетность**: Необходимость в инструментах для отслеживания прогресса учеников и оценки эффективности курсов.
### 2. **Корпоративные тренеры**
- **Управление обучением**: Потребность в эффективных инструментах для управления процессом обучения и отслеживания прогресса участников.
- **Адаптация программ**: Возможность настраивать и адаптировать обучающие программы под конкретные нужды компаний.
- **Аналитика и отчетность**: Необходимость в доступе к аналитическим данным для оценки результатов обучения и его эффективности.
- **Гибкость и интеграция**: Потребность в гибкости использования платформы и возможности интеграции с другими системами, используемыми в компании.
- **Поддержка и ресурсы**: Необходимость в постоянной поддержке и доступе к ресурсам для профессионального развития.
### 3. **Начинающие коучи и консультанты**
- **Простота использования**: Потребность в доступных и интуитивно понятных инструментах для организации работы и взаимодействия с клиентами.
- **Обучение и развитие**: Желание получать знания и навыки, необходимые для успешного старта карьеры в коучинге или консультировании.
- **Гибкие тарифные планы**: Необходимость в доступных тарифах и бесплатных пробных версиях, чтобы минимизировать финансовые риски.
- **Сообщество и поддержка**: Потребность в поддержке сообщества и возможности обмена опытом с более опытными коллегами.
- **Маркетинг и продвижение**: Необходимость в ресурсах и инструментах для эффективного продвижения своих услуг и привлечения клиентов.
### Общие потребности для всех сегментов
- **Упрощение процессов**: Потребность в автоматизации рутинных задач и упрощении процессов взаимодействия с учениками и клиентами.
- **Доступ к современным технологиям**: Желание использовать современные платформы и инструменты для повышения продуктивности и качества работы.
- **Поддержка и обучение**: Необходимость в обучении по использованию платформы и поддержке в процессе внедрения.
Эти потребности помогут в дальнейшем развитии платформы «Тарис» и в создании предложений, которые будут максимально соответствовать ожиданиям и требованиям целевой аудитории.
Опиши список болей и страхов потенциальных клиентов, связанных с их текущей ситуацией (до использования продукта).</t>
        </is>
      </c>
      <c r="C14" s="2">
        <f>GPT("Опиши боли и страхи клиентов..."; D2:I2)</f>
        <v/>
      </c>
      <c r="D14" s="2" t="inlineStr">
        <is>
          <t>Вот список болей и страхов потенциальных клиентов платформы «Тарис», связанных с их текущей ситуацией до использования продукта:
### 1. **Опытные эксперты**
- **Потеря времени**: Страх потратить много времени на поиск и использование различных инструментов для управления своей практикой, что может снизить общую продуктивность.
- **Неэффективность услуг**: Боязнь, что текущие методы и инструменты не позволяют предоставлять услуги на должном уровне качества, что может негативно сказаться на репутации.
- **Отсутствие профессионального роста**: Страх застоя в карьере и недостатка новых знаний и навыков, необходимых для поддержания конкурентоспособности.
- **Изоляция**: Боязнь остаться без поддержки и возможности обмена опытом с коллегами, что может привести к чувству одиночества в профессиональной среде.
- **Недостаток аналитики**: Страх не иметь возможности отслеживать прогресс учеников и оценивать эффективность своих курсов, что может привести к снижению качества обучения.
### 2. **Корпоративные тренеры**
- **Сложности в управлении обучением**: Боязнь не справиться с организацией и управлением процессом обучения, что может привести к неэффективным тренингам и недовольству клиентов.
- **Невозможность адаптации**: Страх, что существующие программы не могут быть адаптированы под конкретные нужды компаний, что может снизить их ценность.
- **Отсутствие аналитики**: Боязнь не иметь доступа к необходимым данным для оценки результатов обучения, что может затруднить принятие решений о дальнейшем развитии программ.
- **Технические проблемы**: Страх столкнуться с трудностями при интеграции новых инструментов с уже существующими системами, что может вызвать дополнительные затраты и задержки.
- **Недостаток поддержки**: Боязнь остаться без необходимой поддержки и ресурсов для профессионального развития, что может привести к снижению качества предоставляемых услуг.
### 3. **Начинающие коучи и консультанты**
- **Неуверенность в навыках**: Страх недостатка знаний и навыков для успешного старта карьеры, что может привести к неуверенности в своих способностях.
- **Сложности с организацией работы**: Боязнь не справиться с организацией своей практики и взаимодействием с клиентами, что может привести к потере клиентов.
- **Финансовые риски**: Страх инвестировать в дорогие инструменты и программы, которые могут не оправдать ожиданий и привести к финансовым потерям.
- **Изоляция**: Боязнь остаться без поддержки сообщества и возможности обмена опытом с более опытными коллегами, что может затруднить профессиональное развитие.
- **Трудности с продвижением**: Страх не иметь необходимых ресурсов и инструментов для эффективного маркетинга и привлечения клиентов, что может привести к недостатку дохода.
### Общие боли и страхи для всех сегментов
- **Сложность в автоматизации процессов**: Боязнь, что текущие процессы слишком сложны и требуют много времени, что может снизить общую продуктивность.
- **Отсутствие доступа к современным технологиям**: Страх не использовать современные инструменты и платформы, что может привести к снижению качества работы и конкурентоспособности.
- **Недостаток обучения и поддержки**: Боязнь не получить необходимую поддержку и обучение по использованию новых инструментов, что может затруднить их внедрение и использование.
Эти боли и страхи помогут лучше понять, с какими проблемами сталкиваются потенциальные клиенты, и как платформа «Тарис» может предложить решения, которые помогут им преодолеть эти трудности.</t>
        </is>
      </c>
    </row>
    <row r="15">
      <c r="A15" s="2" t="inlineStr">
        <is>
          <t>Раскрытие в презентации</t>
        </is>
      </c>
      <c r="B15" s="2" t="inlineStr">
        <is>
          <t>Боли и страхи клиентов:
Вот список болей и страхов потенциальных клиентов платформы «Тарис», связанных с их текущей ситуацией до использования продукта:
### 1. **Опытные эксперты**
- **Потеря времени**: Страх потратить много времени на поиск и использование различных инструментов для управления своей практикой, что может снизить общую продуктивность.
- **Неэффективность услуг**: Боязнь, что текущие методы и инструменты не позволяют предоставлять услуги на должном уровне качества, что может негативно сказаться на репутации.
- **Отсутствие профессионального роста**: Страх застоя в карьере и недостатка новых знаний и навыков, необходимых для поддержания конкурентоспособности.
- **Изоляция**: Боязнь остаться без поддержки и возможности обмена опытом с коллегами, что может привести к чувству одиночества в профессиональной среде.
- **Недостаток аналитики**: Страх не иметь возможности отслеживать прогресс учеников и оценивать эффективность своих курсов, что может привести к снижению качества обучения.
### 2. **Корпоративные тренеры**
- **Сложности в управлении обучением**: Боязнь не справиться с организацией и управлением процессом обучения, что может привести к неэффективным тренингам и недовольству клиентов.
- **Невозможность адаптации**: Страх, что существующие программы не могут быть адаптированы под конкретные нужды компаний, что может снизить их ценность.
- **Отсутствие аналитики**: Боязнь не иметь доступа к необходимым данным для оценки результатов обучения, что может затруднить принятие решений о дальнейшем развитии программ.
- **Технические проблемы**: Страх столкнуться с трудностями при интеграции новых инструментов с уже существующими системами, что может вызвать дополнительные затраты и задержки.
- **Недостаток поддержки**: Боязнь остаться без необходимой поддержки и ресурсов для профессионального развития, что может привести к снижению качества предоставляемых услуг.
### 3. **Начинающие коучи и консультанты**
- **Неуверенность в навыках**: Страх недостатка знаний и навыков для успешного старта карьеры, что может привести к неуверенности в своих способностях.
- **Сложности с организацией работы**: Боязнь не справиться с организацией своей практики и взаимодействием с клиентами, что может привести к потере клиентов.
- **Финансовые риски**: Страх инвестировать в дорогие инструменты и программы, которые могут не оправдать ожиданий и привести к финансовым потерям.
- **Изоляция**: Боязнь остаться без поддержки сообщества и возможности обмена опытом с более опытными коллегами, что может затруднить профессиональное развитие.
- **Трудности с продвижением**: Страх не иметь необходимых ресурсов и инструментов для эффективного маркетинга и привлечения клиентов, что может привести к недостатку дохода.
### Общие боли и страхи для всех сегментов
- **Сложность в автоматизации процессов**: Боязнь, что текущие процессы слишком сложны и требуют много времени, что может снизить общую продуктивность.
- **Отсутствие доступа к современным технологиям**: Страх не использовать современные инструменты и платформы, что может привести к снижению качества работы и конкурентоспособности.
- **Недостаток обучения и поддержки**: Боязнь не получить необходимую поддержку и обучение по использованию новых инструментов, что может затруднить их внедрение и использование.
Эти боли и страхи помогут лучше понять, с какими проблемами сталкиваются потенциальные клиенты, и как платформа «Тарис» может предложить решения, которые помогут им преодолеть эти трудности.
Опиши, как раскрыть эти боли и страхи в презентации или на сайте продукта так, чтобы клиент почувствовал, что его понимают.</t>
        </is>
      </c>
      <c r="C15" s="2">
        <f>GPT("Опиши раскрытие болей в презентации..."; L2)</f>
        <v/>
      </c>
      <c r="D15" s="2" t="inlineStr">
        <is>
          <t>Чтобы эффективно раскрыть боли и страхи клиентов в презентации или на сайте продукта «Тарис», важно использовать подход, который позволит потенциальным пользователям почувствовать, что их проблемы понимают и готовы помочь. Вот несколько стратегий, которые можно применить:
### 1. **Эмпатия и понимание**
- **Используйте язык клиента**: Включите в текст термины и фразы, которые используют ваши клиенты. Это создаст ощущение близости и понимания.
- **Рассказывайте истории**: Приведите примеры реальных ситуаций, с которыми сталкиваются ваши клиенты. Это может быть в формате кейс-стадии или отзывов, где описываются конкретные проблемы и как ваш продукт помог их решить.
### 2. **Визуализация проблем**
- **Инфографика и диаграммы**: Используйте визуальные элементы, чтобы показать, как боли и страхи клиентов влияют на их работу. Например, графики, показывающие снижение продуктивности из-за неэффективных инструментов.
- **Иллюстрации**: Создайте иллюстрации, которые визуализируют страхи и боли, например, изображение человека, который теряется в множестве инструментов, или коуча, который не знает, как привлечь клиентов.
### 3. **Четкие решения**
- **Покажите, как ваш продукт решает проблемы**: Для каждой боли или страха предложите конкретное решение, которое предоставляет «Тарис». Например, если страх связан с потерей времени, подчеркните, как автоматизация процессов с помощью вашей платформы может сэкономить время.
- **Демонстрация функционала**: Включите видео или анимации, которые показывают, как легко и эффективно использовать ваш продукт для решения конкретных проблем.
### 4. **Сообщество и поддержка**
- **Подчеркните поддержку**: Убедите клиентов, что они не останутся одни. Расскажите о доступных ресурсах, таких как обучение, вебинары, поддержка сообщества и т.д.
- **Форумы и группы**: Укажите на наличие форумов или групп, где клиенты могут обмениваться опытом и получать поддержку от более опытных коллег.
### 5. **Доказательства и отзывы**
- **Отзывы клиентов**: Включите реальные отзывы пользователей, которые описывают, как ваш продукт помог им преодолеть страхи и боли. Это создаст доверие и покажет, что вы понимаете их проблемы.
- **Кейсы успеха**: Приведите примеры успешных клиентов, которые смогли решить свои проблемы с помощью «Тарис». Это может быть в формате текстовых отзывов, видео или даже подкастов.
### 6. **Призыв к действию**
- **Четкие CTA**: Включите призывы к действию, которые побуждают клиентов попробовать ваш продукт. Например, «Попробуйте бесплатно и убедитесь, как легко управлять своей практикой» или «Запишитесь на вебинар, чтобы узнать, как повысить свою продуктивность».
### 7. **Обратная связь**
- **Форма обратной связи**: Предложите клиентам возможность оставить свои мысли и вопросы. Это покажет, что вы готовы слушать и учитывать их мнения.
### Заключение
Важно, чтобы каждая часть вашей презентации или сайта была направлена на создание связи с клиентом. Используйте их боли и страхи как отправную точку для демонстрации ценности вашего продукта, показывая, что вы не просто предлагаете решение, а действительно понимаете их потребности и готовы помочь.</t>
        </is>
      </c>
    </row>
    <row r="16">
      <c r="A16" s="2" t="inlineStr">
        <is>
          <t>SEO и статьи</t>
        </is>
      </c>
      <c r="B16" s="2" t="inlineStr">
        <is>
          <t>Боли и страхи:
Вот список болей и страхов потенциальных клиентов платформы «Тарис», связанных с их текущей ситуацией до использования продукта:
### 1. **Опытные эксперты**
- **Потеря времени**: Страх потратить много времени на поиск и использование различных инструментов для управления своей практикой, что может снизить общую продуктивность.
- **Неэффективность услуг**: Боязнь, что текущие методы и инструменты не позволяют предоставлять услуги на должном уровне качества, что может негативно сказаться на репутации.
- **Отсутствие профессионального роста**: Страх застоя в карьере и недостатка новых знаний и навыков, необходимых для поддержания конкурентоспособности.
- **Изоляция**: Боязнь остаться без поддержки и возможности обмена опытом с коллегами, что может привести к чувству одиночества в профессиональной среде.
- **Недостаток аналитики**: Страх не иметь возможности отслеживать прогресс учеников и оценивать эффективность своих курсов, что может привести к снижению качества обучения.
### 2. **Корпоративные тренеры**
- **Сложности в управлении обучением**: Боязнь не справиться с организацией и управлением процессом обучения, что может привести к неэффективным тренингам и недовольству клиентов.
- **Невозможность адаптации**: Страх, что существующие программы не могут быть адаптированы под конкретные нужды компаний, что может снизить их ценность.
- **Отсутствие аналитики**: Боязнь не иметь доступа к необходимым данным для оценки результатов обучения, что может затруднить принятие решений о дальнейшем развитии программ.
- **Технические проблемы**: Страх столкнуться с трудностями при интеграции новых инструментов с уже существующими системами, что может вызвать дополнительные затраты и задержки.
- **Недостаток поддержки**: Боязнь остаться без необходимой поддержки и ресурсов для профессионального развития, что может привести к снижению качества предоставляемых услуг.
### 3. **Начинающие коучи и консультанты**
- **Неуверенность в навыках**: Страх недостатка знаний и навыков для успешного старта карьеры, что может привести к неуверенности в своих способностях.
- **Сложности с организацией работы**: Боязнь не справиться с организацией своей практики и взаимодействием с клиентами, что может привести к потере клиентов.
- **Финансовые риски**: Страх инвестировать в дорогие инструменты и программы, которые могут не оправдать ожиданий и привести к финансовым потерям.
- **Изоляция**: Боязнь остаться без поддержки сообщества и возможности обмена опытом с более опытными коллегами, что может затруднить профессиональное развитие.
- **Трудности с продвижением**: Страх не иметь необходимых ресурсов и инструментов для эффективного маркетинга и привлечения клиентов, что может привести к недостатку дохода.
### Общие боли и страхи для всех сегментов
- **Сложность в автоматизации процессов**: Боязнь, что текущие процессы слишком сложны и требуют много времени, что может снизить общую продуктивность.
- **Отсутствие доступа к современным технологиям**: Страх не использовать современные инструменты и платформы, что может привести к снижению качества работы и конкурентоспособности.
- **Недостаток обучения и поддержки**: Боязнь не получить необходимую поддержку и обучение по использованию новых инструментов, что может затруднить их внедрение и использование.
Эти боли и страхи помогут лучше понять, с какими проблемами сталкиваются потенциальные клиенты, и как платформа «Тарис» может предложить решения, которые помогут им преодолеть эти трудности.
Потребности:
Вот список ключевых потребностей потенциальных клиентов платформы «Тарис», основанный на описанных портретах клиентов:
### 1. **Опытные эксперты**
- **Эффективность и качество услуг**: Необходимость в инструментах, которые помогут повысить качество предоставляемых услуг и оптимизировать рабочие процессы.
- **Профессиональный рост**: Потребность в постоянном обучении и доступе к новым знаниям и технологиям.
- **Интеграция инструментов**: Желание иметь все необходимые функции (общение, обучение, CRM) в одном месте, чтобы избежать хаоса и потерь времени.
- **Сетевое взаимодействие**: Возможность обмена опытом и взаимодействия с другими профессионалами в своей области.
- **Аналитика и отчетность**: Необходимость в инструментах для отслеживания прогресса учеников и оценки эффективности курсов.
### 2. **Корпоративные тренеры**
- **Управление обучением**: Потребность в эффективных инструментах для управления процессом обучения и отслеживания прогресса участников.
- **Адаптация программ**: Возможность настраивать и адаптировать обучающие программы под конкретные нужды компаний.
- **Аналитика и отчетность**: Необходимость в доступе к аналитическим данным для оценки результатов обучения и его эффективности.
- **Гибкость и интеграция**: Потребность в гибкости использования платформы и возможности интеграции с другими системами, используемыми в компании.
- **Поддержка и ресурсы**: Необходимость в постоянной поддержке и доступе к ресурсам для профессионального развития.
### 3. **Начинающие коучи и консультанты**
- **Простота использования**: Потребность в доступных и интуитивно понятных инструментах для организации работы и взаимодействия с клиентами.
- **Обучение и развитие**: Желание получать знания и навыки, необходимые для успешного старта карьеры в коучинге или консультировании.
- **Гибкие тарифные планы**: Необходимость в доступных тарифах и бесплатных пробных версиях, чтобы минимизировать финансовые риски.
- **Сообщество и поддержка**: Потребность в поддержке сообщества и возможности обмена опытом с более опытными коллегами.
- **Маркетинг и продвижение**: Необходимость в ресурсах и инструментах для эффективного продвижения своих услуг и привлечения клиентов.
### Общие потребности для всех сегментов
- **Упрощение процессов**: Потребность в автоматизации рутинных задач и упрощении процессов взаимодействия с учениками и клиентами.
- **Доступ к современным технологиям**: Желание использовать современные платформы и инструменты для повышения продуктивности и качества работы.
- **Поддержка и обучение**: Необходимость в обучении по использованию платформы и поддержке в процессе внедрения.
Эти потребности помогут в дальнейшем развитии платформы «Тарис» и в создании предложений, которые будут максимально соответствовать ожиданиям и требованиям целевой аудитории.
Предложи 5 тем статей для SEO-блога, отвечающих на эти боли и потребности клиентов. Только список тем.</t>
        </is>
      </c>
      <c r="C16" s="2">
        <f>GPT_LIST("Предложи темы статей для SEO на основе..."; L2:I2)</f>
        <v/>
      </c>
      <c r="D16" s="2" t="inlineStr">
        <is>
          <t>1. "Как выбрать эффективные инструменты для управления обучением: советы для тренеров и коучей"
2. "5 способов повысить качество услуг и профессиональный рост с помощью современных технологий"
3. "Автоматизация процессов: как упростить работу и увеличить продуктивность в коучинге и обучении"
4. "Создание сообщества: как обмен опытом с коллегами может помочь в развитии карьеры"
5. "Гибкие тарифные планы и бесплатные пробные версии: как минимизировать финансовые риски при старте карьеры"</t>
        </is>
      </c>
    </row>
    <row r="17">
      <c r="A17" s="2" t="inlineStr">
        <is>
          <t>УТП</t>
        </is>
      </c>
      <c r="B17" s="2" t="inlineStr">
        <is>
          <t>Продукт: «Тарис» — платформа для экспертов (авторов онлайн-курсов, коучей, консультантов), которая объединяет в одном месте общение с учениками, обучение (уроки, задания, отслеживание прогресса) и ведение клиентов (CRM, оплаты, напоминания) — вместо того чтобы вручную склеивать Telegram, Google-документы и таблицы. Дополнительно продаётся аудит текущих процессов эксперта и внедрение платформы под его задачи. Целевая аудитория — эксперты, которые ведут собственные онлайн-курсы и теряют учеников и деньги из-за хаоса в разрозненных инструментах.
Приоритетные сегменты:
Для бизнеса, стремящегося к максимальной легкодоступности и платёжеспособности, наиболее привлекательными сегментами являются:
### 1. **Опытные эксперты**
- **Описание**: Этот сегмент включает профессионалов с высоким уровнем образования и значительным опытом работы. Они уже имеют устоявшуюся клиентскую базу и активно используют онлайн-форматы для обучения. Опытные эксперты готовы инвестировать в инструменты, которые помогут им оптимизировать процессы и повысить качество своих услуг. Их платёжеспособность и желание улучшать свои навыки делают их идеальными клиентами для платформы «Тарис».
### 2. **Корпоративные тренеры**
- **Описание**: Корпоративные тренеры работают в крупных компаниях или являются независимыми специалистами, которые проводят тренинги для сотрудников. Они ищут эффективные решения для управления обучением и отслеживания прогресса участников. Этот сегмент обладает высокой платёжеспособностью, так как компании готовы инвестировать в обучение своих сотрудников. Платформа, которая предлагает интегрированные решения для управления обучением, будет востребована среди корпоративных тренеров.
### 3. **Начинающие коучи и консультанты**
- **Описание**: Хотя этот сегмент может показаться менее платёжеспособным по сравнению с предыдущими, начинающие коучи и консультанты активно ищут доступные решения для старта своей карьеры. Они готовы инвестировать в инструменты, которые помогут им избежать ошибок и организовать свои процессы. Платформа, предлагающая простые и доступные решения, может привлечь этот сегмент, особенно если предложить гибкие тарифные планы или бесплатные пробные версии.
Эти сегменты представляют собой сочетание платёжеспособности и готовности к использованию новых инструментов, что делает их привлекательными для бизнеса.
Боли и страхи:
Вот список болей и страхов потенциальных клиентов платформы «Тарис», связанных с их текущей ситуацией до использования продукта:
### 1. **Опытные эксперты**
- **Потеря времени**: Страх потратить много времени на поиск и использование различных инструментов для управления своей практикой, что может снизить общую продуктивность.
- **Неэффективность услуг**: Боязнь, что текущие методы и инструменты не позволяют предоставлять услуги на должном уровне качества, что может негативно сказаться на репутации.
- **Отсутствие профессионального роста**: Страх застоя в карьере и недостатка новых знаний и навыков, необходимых для поддержания конкурентоспособности.
- **Изоляция**: Боязнь остаться без поддержки и возможности обмена опытом с коллегами, что может привести к чувству одиночества в профессиональной среде.
- **Недостаток аналитики**: Страх не иметь возможности отслеживать прогресс учеников и оценивать эффективность своих курсов, что может привести к снижению качества обучения.
### 2. **Корпоративные тренеры**
- **Сложности в управлении обучением**: Боязнь не справиться с организацией и управлением процессом обучения, что может привести к неэффективным тренингам и недовольству клиентов.
- **Невозможность адаптации**: Страх, что существующие программы не могут быть адаптированы под конкретные нужды компаний, что может снизить их ценность.
- **Отсутствие аналитики**: Боязнь не иметь доступа к необходимым данным для оценки результатов обучения, что может затруднить принятие решений о дальнейшем развитии программ.
- **Технические проблемы**: Страх столкнуться с трудностями при интеграции новых инструментов с уже существующими системами, что может вызвать дополнительные затраты и задержки.
- **Недостаток поддержки**: Боязнь остаться без необходимой поддержки и ресурсов для профессионального развития, что может привести к снижению качества предоставляемых услуг.
### 3. **Начинающие коучи и консультанты**
- **Неуверенность в навыках**: Страх недостатка знаний и навыков для успешного старта карьеры, что может привести к неуверенности в своих способностях.
- **Сложности с организацией работы**: Боязнь не справиться с организацией своей практики и взаимодействием с клиентами, что может привести к потере клиентов.
- **Финансовые риски**: Страх инвестировать в дорогие инструменты и программы, которые могут не оправдать ожиданий и привести к финансовым потерям.
- **Изоляция**: Боязнь остаться без поддержки сообщества и возможности обмена опытом с более опытными коллегами, что может затруднить профессиональное развитие.
- **Трудности с продвижением**: Страх не иметь необходимых ресурсов и инструментов для эффективного маркетинга и привлечения клиентов, что может привести к недостатку дохода.
### Общие боли и страхи для всех сегментов
- **Сложность в автоматизации процессов**: Боязнь, что текущие процессы слишком сложны и требуют много времени, что может снизить общую продуктивность.
- **Отсутствие доступа к современным технологиям**: Страх не использовать современные инструменты и платформы, что может привести к снижению качества работы и конкурентоспособности.
- **Недостаток обучения и поддержки**: Боязнь не получить необходимую поддержку и обучение по использованию новых инструментов, что может затруднить их внедрение и использование.
Эти боли и страхи помогут лучше понять, с какими проблемами сталкиваются потенциальные клиенты, и как платформа «Тарис» может предложить решения, которые помогут им преодолеть эти трудности.
Сформулируй одно чёткое уникальное торговое предложение (УТП) для этого продукта.</t>
        </is>
      </c>
      <c r="C17" s="2">
        <f>GPT("Сформулируй УТП для продукта на основе..."; $A$2;D2;L2)</f>
        <v/>
      </c>
      <c r="D17" s="2" t="inlineStr">
        <is>
          <t>**Уникальное торговое предложение (УТП) для платформы «Тарис»:**
"Объедините обучение, общение и управление клиентами в одном месте с платформой «Тарис» — оптимизируйте свои процессы, увеличьте доход и не теряйте учеников из-за хаоса в разрозненных инструментах. Получите доступ к современным решениям, которые помогут вам сосредоточиться на росте и развитии, а не на рутинных задачах!"</t>
        </is>
      </c>
    </row>
    <row r="18">
      <c r="A18" s="2" t="inlineStr">
        <is>
          <t>Адаптация для онлайн-рекламы</t>
        </is>
      </c>
      <c r="B18" s="2" t="inlineStr">
        <is>
          <t>УТП:
**Уникальное торговое предложение (УТП) для платформы «Тарис»:**
"Объедините обучение, общение и управление клиентами в одном месте с платформой «Тарис» — оптимизируйте свои процессы, увеличьте доход и не теряйте учеников из-за хаоса в разрозненных инструментах. Получите доступ к современным решениям, которые помогут вам сосредоточиться на росте и развитии, а не на рутинных задачах!"
Адаптируй это УТП в 3 коротких варианта текста для таргетированной онлайн-рекламы (до 150 символов каждый).</t>
        </is>
      </c>
      <c r="C18" s="2">
        <f>GPT_LIST("Адаптируй УТП для онлайн-рекламы..."; P2)</f>
        <v/>
      </c>
      <c r="D18" s="2" t="inlineStr">
        <is>
          <t>1. "Соберите обучение, общение и управление клиентами в одном месте с «Тарис». Увеличьте доход и сосредоточьтесь на росте!"
2. "Оптимизируйте процессы с платформой «Тарис»: обучение, общение и управление клиентами в одном решении. Успех без хаоса!"
3. "Не теряйте учеников из-за разрозненных инструментов! «Тарис» — ваш ключ к эффективному обучению и управлению клиентами."</t>
        </is>
      </c>
    </row>
    <row r="19">
      <c r="A19" s="2" t="inlineStr">
        <is>
          <t>Возражения</t>
        </is>
      </c>
      <c r="B19" s="2" t="inlineStr">
        <is>
          <t>Продукт: «Тарис» — платформа для экспертов (авторов онлайн-курсов, коучей, консультантов), которая объединяет в одном месте общение с учениками, обучение (уроки, задания, отслеживание прогресса) и ведение клиентов (CRM, оплаты, напоминания) — вместо того чтобы вручную склеивать Telegram, Google-документы и таблицы. Дополнительно продаётся аудит текущих процессов эксперта и внедрение платформы под его задачи. Целевая аудитория — эксперты, которые ведут собственные онлайн-курсы и теряют учеников и деньги из-за хаоса в разрозненных инструментах.
Целевые сегменты:
Для бизнеса, стремящегося к максимальной легкодоступности и платёжеспособности, наиболее привлекательными сегментами являются:
### 1. **Опытные эксперты**
- **Описание**: Этот сегмент включает профессионалов с высоким уровнем образования и значительным опытом работы. Они уже имеют устоявшуюся клиентскую базу и активно используют онлайн-форматы для обучения. Опытные эксперты готовы инвестировать в инструменты, которые помогут им оптимизировать процессы и повысить качество своих услуг. Их платёжеспособность и желание улучшать свои навыки делают их идеальными клиентами для платформы «Тарис».
### 2. **Корпоративные тренеры**
- **Описание**: Корпоративные тренеры работают в крупных компаниях или являются независимыми специалистами, которые проводят тренинги для сотрудников. Они ищут эффективные решения для управления обучением и отслеживания прогресса участников. Этот сегмент обладает высокой платёжеспособностью, так как компании готовы инвестировать в обучение своих сотрудников. Платформа, которая предлагает интегрированные решения для управления обучением, будет востребована среди корпоративных тренеров.
### 3. **Начинающие коучи и консультанты**
- **Описание**: Хотя этот сегмент может показаться менее платёжеспособным по сравнению с предыдущими, начинающие коучи и консультанты активно ищут доступные решения для старта своей карьеры. Они готовы инвестировать в инструменты, которые помогут им избежать ошибок и организовать свои процессы. Платформа, предлагающая простые и доступные решения, может привлечь этот сегмент, особенно если предложить гибкие тарифные планы или бесплатные пробные версии.
Эти сегменты представляют собой сочетание платёжеспособности и готовности к использованию новых инструментов, что делает их привлекательными для бизнеса.
Составь список из 6 типичных возражений потенциальных клиентов при покупке этого продукта (например, по цене, доверию, необходимости).</t>
        </is>
      </c>
      <c r="C19" s="2">
        <f>GPT_LIST("Составь список возражений клиентов для..."; $A$2;D2)</f>
        <v/>
      </c>
      <c r="D19" s="2" t="inlineStr">
        <is>
          <t>Вот список из 6 типичных возражений потенциальных клиентов при покупке платформы «Тарис»:
1. **Цена**: "Платформа кажется слишком дорогой для моего бюджета, особенно на начальном этапе бизнеса. Я не уверен, что смогу оправдать эти расходы."
2. **Необходимость**: "Я уже использую несколько инструментов для управления обучением и общением с учениками. Зачем мне переходить на новую платформу, если я могу продолжать работать с тем, что у меня есть?"
3. **Сложность внедрения**: "Я боюсь, что процесс внедрения новой платформы будет слишком сложным и времязатратным. У меня нет времени на обучение и настройку."
4. **Доверие к продукту**: "Я не знаком с вашей платформой и не уверен в её надежности. Как я могу быть уверен, что она действительно улучшит мои процессы?"
5. **Поддержка и обслуживание**: "Что произойдет, если у меня возникнут проблемы с платформой? Как быстро я смогу получить помощь и поддержку?"
6. **Гибкость и адаптация**: "Я не уверен, что платформа сможет адаптироваться под мои специфические нужды и процессы. Как я могу быть уверен, что она будет работать именно так, как мне нужно?"</t>
        </is>
      </c>
    </row>
    <row r="20">
      <c r="A20" s="2" t="inlineStr">
        <is>
          <t>Ответы на возражения</t>
        </is>
      </c>
      <c r="B20" s="2" t="inlineStr">
        <is>
          <t>Список возражений:
Вот список из 6 типичных возражений потенциальных клиентов при покупке платформы «Тарис»:
1. **Цена**: "Платформа кажется слишком дорогой для моего бюджета, особенно на начальном этапе бизнеса. Я не уверен, что смогу оправдать эти расходы."
2. **Необходимость**: "Я уже использую несколько инструментов для управления обучением и общением с учениками. Зачем мне переходить на новую платформу, если я могу продолжать работать с тем, что у меня есть?"
3. **Сложность внедрения**: "Я боюсь, что процесс внедрения новой платформы будет слишком сложным и времязатратным. У меня нет времени на обучение и настройку."
4. **Доверие к продукту**: "Я не знаком с вашей платформой и не уверен в её надежности. Как я могу быть уверен, что она действительно улучшит мои процессы?"
5. **Поддержка и обслуживание**: "Что произойдет, если у меня возникнут проблемы с платформой? Как быстро я смогу получить помощь и поддержку?"
6. **Гибкость и адаптация**: "Я не уверен, что платформа сможет адаптироваться под мои специфические нужды и процессы. Как я могу быть уверен, что она будет работать именно так, как мне нужно?"
Напиши короткий убедительный ответ на каждое из этих возражений.</t>
        </is>
      </c>
      <c r="C20" s="2">
        <f>GPT("Напиши ответы на возражения из..."; R2)</f>
        <v/>
      </c>
      <c r="D20" s="2" t="inlineStr">
        <is>
          <t>Конечно! Вот короткие убедительные ответы на каждое из возражений:
1. **Цена**: "Понимаю ваши опасения по поводу бюджета. Однако, платформа «Тарис» предлагает множество функций, которые помогут вам сэкономить время и ресурсы, что в конечном итоге может привести к увеличению дохода. Мы также можем предложить гибкие тарифные планы, которые подойдут для вашего бюджета."
2. **Необходимость**: "Хотя у вас уже есть инструменты, «Тарис» объединяет все функции в одном месте, что упрощает управление и повышает эффективность. Переход на нашу платформу может значительно улучшить ваши процессы и сэкономить время."
3. **Сложность внедрения**: "Мы понимаем, что внедрение новой платформы может вызывать опасения. Наша команда предоставляет полную поддержку на каждом этапе: от настройки до обучения. Мы также предлагаем пошаговые инструкции и ресурсы, чтобы сделать процесс максимально простым."
4. **Доверие к продукту**: "Мы гордимся тем, что «Тарис» уже помог многим клиентам улучшить их процессы. У нас есть множество положительных отзывов и кейсов, которые подтверждают эффективность платформы. Вы можете попробовать бесплатную демо-версию, чтобы убедиться в её надежности."
5. **Поддержка и обслуживание**: "Наша служба поддержки доступна 24/7, и мы гарантируем быстрый ответ на ваши запросы. Мы также предлагаем обширную базу знаний и обучающие материалы, чтобы вы могли быстро находить решения на возникающие вопросы."
6. **Гибкость и адаптация**: "«Тарис» разработан с учетом потребностей различных пользователей. Мы предлагаем множество настроек и интеграций, чтобы платформа могла адаптироваться под ваши специфические процессы. Мы также готовы работать с вами, чтобы настроить её под ваши нужды."</t>
        </is>
      </c>
    </row>
    <row r="21">
      <c r="A21" s="2" t="inlineStr">
        <is>
          <t>Речевой модуль</t>
        </is>
      </c>
      <c r="B21" s="2" t="inlineStr">
        <is>
          <t>Продукт: «Тарис» — платформа для экспертов (авторов онлайн-курсов, коучей, консультантов), которая объединяет в одном месте общение с учениками, обучение (уроки, задания, отслеживание прогресса) и ведение клиентов (CRM, оплаты, напоминания) — вместо того чтобы вручную склеивать Telegram, Google-документы и таблицы. Дополнительно продаётся аудит текущих процессов эксперта и внедрение платформы под его задачи. Целевая аудитория — эксперты, которые ведут собственные онлайн-курсы и теряют учеников и деньги из-за хаоса в разрозненных инструментах.
Боли и страхи:
Вот список болей и страхов потенциальных клиентов платформы «Тарис», связанных с их текущей ситуацией до использования продукта:
### 1. **Опытные эксперты**
- **Потеря времени**: Страх потратить много времени на поиск и использование различных инструментов для управления своей практикой, что может снизить общую продуктивность.
- **Неэффективность услуг**: Боязнь, что текущие методы и инструменты не позволяют предоставлять услуги на должном уровне качества, что может негативно сказаться на репутации.
- **Отсутствие профессионального роста**: Страх застоя в карьере и недостатка новых знаний и навыков, необходимых для поддержания конкурентоспособности.
- **Изоляция**: Боязнь остаться без поддержки и возможности обмена опытом с коллегами, что может привести к чувству одиночества в профессиональной среде.
- **Недостаток аналитики**: Страх не иметь возможности отслеживать прогресс учеников и оценивать эффективность своих курсов, что может привести к снижению качества обучения.
### 2. **Корпоративные тренеры**
- **Сложности в управлении обучением**: Боязнь не справиться с организацией и управлением процессом обучения, что может привести к неэффективным тренингам и недовольству клиентов.
- **Невозможность адаптации**: Страх, что существующие программы не могут быть адаптированы под конкретные нужды компаний, что может снизить их ценность.
- **Отсутствие аналитики**: Боязнь не иметь доступа к необходимым данным для оценки результатов обучения, что может затруднить принятие решений о дальнейшем развитии программ.
- **Технические проблемы**: Страх столкнуться с трудностями при интеграции новых инструментов с уже существующими системами, что может вызвать дополнительные затраты и задержки.
- **Недостаток поддержки**: Боязнь остаться без необходимой поддержки и ресурсов для профессионального развития, что может привести к снижению качества предоставляемых услуг.
### 3. **Начинающие коучи и консультанты**
- **Неуверенность в навыках**: Страх недостатка знаний и навыков для успешного старта карьеры, что может привести к неуверенности в своих способностях.
- **Сложности с организацией работы**: Боязнь не справиться с организацией своей практики и взаимодействием с клиентами, что может привести к потере клиентов.
- **Финансовые риски**: Страх инвестировать в дорогие инструменты и программы, которые могут не оправдать ожиданий и привести к финансовым потерям.
- **Изоляция**: Боязнь остаться без поддержки сообщества и возможности обмена опытом с более опытными коллегами, что может затруднить профессиональное развитие.
- **Трудности с продвижением**: Страх не иметь необходимых ресурсов и инструментов для эффективного маркетинга и привлечения клиентов, что может привести к недостатку дохода.
### Общие боли и страхи для всех сегментов
- **Сложность в автоматизации процессов**: Боязнь, что текущие процессы слишком сложны и требуют много времени, что может снизить общую продуктивность.
- **Отсутствие доступа к современным технологиям**: Страх не использовать современные инструменты и платформы, что может привести к снижению качества работы и конкурентоспособности.
- **Недостаток обучения и поддержки**: Боязнь не получить необходимую поддержку и обучение по использованию новых инструментов, что может затруднить их внедрение и использование.
Эти боли и страхи помогут лучше понять, с какими проблемами сталкиваются потенциальные клиенты, и как платформа «Тарис» может предложить решения, которые помогут им преодолеть эти трудности.
УТП:
**Уникальное торговое предложение (УТП) для платформы «Тарис»:**
"Объедините обучение, общение и управление клиентами в одном месте с платформой «Тарис» — оптимизируйте свои процессы, увеличьте доход и не теряйте учеников из-за хаоса в разрозненных инструментах. Получите доступ к современным решениям, которые помогут вам сосредоточиться на росте и развитии, а не на рутинных задачах!"
Возражения и ответы:
Конечно! Вот короткие убедительные ответы на каждое из возражений:
1. **Цена**: "Понимаю ваши опасения по поводу бюджета. Однако, платформа «Тарис» предлагает множество функций, которые помогут вам сэкономить время и ресурсы, что в конечном итоге может привести к увеличению дохода. Мы также можем предложить гибкие тарифные планы, которые подойдут для вашего бюджета."
2. **Необходимость**: "Хотя у вас уже есть инструменты, «Тарис» объединяет все функции в одном месте, что упрощает управление и повышает эффективность. Переход на нашу платформу может значительно улучшить ваши процессы и сэкономить время."
3. **Сложность внедрения**: "Мы понимаем, что внедрение новой платформы может вызывать опасения. Наша команда предоставляет полную поддержку на каждом этапе: от настройки до обучения. Мы также предлагаем пошаговые инструкции и ресурсы, чтобы сделать процесс максимально простым."
4. **Доверие к продукту**: "Мы гордимся тем, что «Тарис» уже помог многим клиентам улучшить их процессы. У нас есть множество положительных отзывов и кейсов, которые подтверждают эффективность платформы. Вы можете попробовать бесплатную демо-версию, чтобы убедиться в её надежности."
5. **Поддержка и обслуживание**: "Наша служба поддержки доступна 24/7, и мы гарантируем быстрый ответ на ваши запросы. Мы также предлагаем обширную базу знаний и обучающие материалы, чтобы вы могли быстро находить решения на возникающие вопросы."
6. **Гибкость и адаптация**: "«Тарис» разработан с учетом потребностей различных пользователей. Мы предлагаем множество настроек и интеграций, чтобы платформа могла адаптироваться под ваши специфические процессы. Мы также готовы работать с вами, чтобы настроить её под ваши нужды."
На основе всего этого напиши краткий речевой модуль (5-7 реплик) для первого сообщения потенциальному клиенту в мессенджере.</t>
        </is>
      </c>
      <c r="C21" s="2">
        <f>GPT("Напиши речевой модуль на основе..."; $A$2;L2;P2;S2)</f>
        <v/>
      </c>
      <c r="D21" s="2" t="inlineStr">
        <is>
          <t>Конечно! Вот пример краткого речевого модуля для первого сообщения потенциальному клиенту в мессенджере:
---
Привет! 👋 Я представляю платформу «Тарис», которая поможет вам объединить обучение, общение с учениками и управление клиентами в одном месте. 
Знаю, что многие эксперты теряют время и деньги из-за хаоса в разрозненных инструментах. С «Тарис» вы сможете оптимизировать свои процессы и сосредоточиться на росте и развитии. 
Мы предлагаем гибкие тарифные планы и полную поддержку на каждом этапе внедрения. Хотите узнать больше? Могу предложить бесплатную демо-версию, чтобы вы сами оценили все преимущества!
---
Если у вас есть вопросы или хотите обсудить, как «Тарис» может помочь именно вам, дайте знать! 😊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5" customWidth="1" min="4" max="4"/>
    <col width="55" customWidth="1" min="5" max="5"/>
  </cols>
  <sheetData>
    <row r="1">
      <c r="A1" s="1" t="inlineStr">
        <is>
          <t>№</t>
        </is>
      </c>
      <c r="B1" s="1" t="inlineStr">
        <is>
          <t>Тип формулы</t>
        </is>
      </c>
      <c r="C1" s="1" t="inlineStr">
        <is>
          <t>Что означает</t>
        </is>
      </c>
      <c r="D1" s="1" t="inlineStr">
        <is>
          <t>Что подставляем (пример)</t>
        </is>
      </c>
      <c r="E1" s="1" t="inlineStr">
        <is>
          <t>Результат (эталон)</t>
        </is>
      </c>
    </row>
    <row r="2">
      <c r="A2" t="n">
        <v>1</v>
      </c>
      <c r="B2" s="2">
        <f>GPT("промпт")</f>
        <v/>
      </c>
      <c r="C2" s="2" t="inlineStr">
        <is>
          <t>Прямой текстовый промпт без ссылок на ячейки</t>
        </is>
      </c>
      <c r="D2" s="2" t="inlineStr">
        <is>
          <t>Напиши короткий слоган для платформы «Тарис» (до 8 слов), без кавычек.</t>
        </is>
      </c>
      <c r="E2" s="2" t="inlineStr">
        <is>
          <t>Тарис — ваш путь к новым возможностям!</t>
        </is>
      </c>
    </row>
    <row r="3">
      <c r="A3" t="n">
        <v>2</v>
      </c>
      <c r="B3" s="2">
        <f>GPT(ячейка)</f>
        <v/>
      </c>
      <c r="C3" s="2" t="inlineStr">
        <is>
          <t>Промпт целиком лежит в одной ячейке</t>
        </is>
      </c>
      <c r="D3" s="2" t="inlineStr">
        <is>
          <t>Придумай короткое название (2-3 слова) для функции CRM в «Тарисе», которая автоматически напоминает ученикам о дедлайнах домашних заданий.</t>
        </is>
      </c>
      <c r="E3" s="2" t="inlineStr">
        <is>
          <t>"Дедлайн-Напоминатель"</t>
        </is>
      </c>
    </row>
    <row r="4">
      <c r="A4" t="n">
        <v>3</v>
      </c>
      <c r="B4" s="2">
        <f>GPT("промпт"; ячейка)</f>
        <v/>
      </c>
      <c r="C4" s="2" t="inlineStr">
        <is>
          <t>Текст-инструкция + содержимое ячейки с данными</t>
        </is>
      </c>
      <c r="D4" s="2" t="inlineStr">
        <is>
          <t>ИНСТРУКЦИЯ: Переведи следующий текст на деловой английский язык, сохрани смысл.
ТЕКСТ: «Тарис» помогает экспертам не терять учеников из-за хаоса в переписках и таблицах.</t>
        </is>
      </c>
      <c r="E4" s="2" t="inlineStr">
        <is>
          <t>"Taris" assists experts in retaining their students by eliminating chaos in communications and spreadsheets.</t>
        </is>
      </c>
    </row>
    <row r="5">
      <c r="A5" t="n">
        <v>4</v>
      </c>
      <c r="B5" s="2">
        <f>GPT(ячейка; ячейка)</f>
        <v/>
      </c>
      <c r="C5" s="2" t="inlineStr">
        <is>
          <t>Инструкция и данные — в двух разных ячейках</t>
        </is>
      </c>
      <c r="D5" s="2" t="inlineStr">
        <is>
          <t>ИНСТРУКЦИЯ (ячейка 1): Сократи текст до одного предложения, не теряя смысл.
ДАННЫЕ (ячейка 2): «Тарис» — платформа для экспертов, которая объединяет общение с учениками, обучение и ведение клиентов (CRM), чтобы эксперт не терял деньги из-за разрозненных Telegram, Google-документов и таблиц.</t>
        </is>
      </c>
      <c r="E5" s="2" t="inlineStr">
        <is>
          <t>«Тарис» — это платформа для экспертов, которая объединяет общение с учениками, обучение и CRM, предотвращая финансовые потери из-за разрозненных инструментов.</t>
        </is>
      </c>
    </row>
    <row r="6">
      <c r="A6" t="n">
        <v>5</v>
      </c>
      <c r="B6" s="2">
        <f>GPT(ячейка:ячейка)</f>
        <v/>
      </c>
      <c r="C6" s="2" t="inlineStr">
        <is>
          <t>Составной промпт — данные разбросаны по диапазону ячеек</t>
        </is>
      </c>
      <c r="D6" s="2" t="inlineStr">
        <is>
          <t>Три отзыва учеников экспертов, до перехода на «Тарис» (каждый — в своей ячейке диапазона):
1) «Постоянно теряю дедлайны, эксперт пишет напоминания вручную в личке».
2) «Оплату присылаю на карту, чек потом теряется, непонятно, что уже оплачено».
3) «Материалы курса раскиданы по Google-диску, найти нужный урок — квест».
ЗАДАЧА: определи общую боль клиента, которая объединяет все три отзыва.</t>
        </is>
      </c>
      <c r="E6" s="2" t="inlineStr">
        <is>
          <t>Общая боль клиента, объединяющая все три отзыва, заключается в недостаточной организации и прозрачности процессов обучения. Учащиеся сталкиваются с проблемами, связанными с управлением временем (потеря дедлайнов), финансовыми транзакциями (неясность по оплате) и доступом к учебным материалам (разрозненные ресурсы). Это создает ощущение хаоса и неэффективности, что затрудняет процесс обучения и снижает его качество.</t>
        </is>
      </c>
    </row>
    <row r="7">
      <c r="A7" t="n">
        <v>6</v>
      </c>
      <c r="B7" s="2">
        <f>GPT($A$1:$C$3; ячейка)</f>
        <v/>
      </c>
      <c r="C7" s="2" t="inlineStr">
        <is>
          <t>Сложно-составной промпт — фиксированный блок ячеек + отдельная инструкция</t>
        </is>
      </c>
      <c r="D7" s="2" t="inlineStr">
        <is>
          <t>БЛОК ДАННЫХ ($A$1:$C$3): описание продукта «Тарис» + список из 3 приоритетных сегментов клиентов (см. лист «Продукт»).
ИНСТРУКЦИЯ (отдельная ячейка): на основе блока данных выше сформулируй один заголовок для лендинга, который бьёт точно в самый платёжеспособный сегмент.</t>
        </is>
      </c>
      <c r="E7" s="2" t="inlineStr">
        <is>
          <t>**Заголовок для лендинга:** "Тарис: Идеальное решение для успешных предпринимателей, стремящихся к росту и эффективности!"</t>
        </is>
      </c>
    </row>
    <row r="8">
      <c r="A8" t="n">
        <v>7</v>
      </c>
      <c r="B8" s="2">
        <f>GPT_LIST(ячейка)</f>
        <v/>
      </c>
      <c r="C8" s="2" t="inlineStr">
        <is>
          <t>Ответ списком — каждый пункт в отдельной ячейке (формула сама форматирует список)</t>
        </is>
      </c>
      <c r="D8" s="2" t="inlineStr">
        <is>
          <t>Перечисли 5 функций, которые обязательно должны быть в CRM для экспертов-курсоделов.</t>
        </is>
      </c>
      <c r="E8" s="2" t="inlineStr">
        <is>
          <t>Управление контактами и клиентами  
Автоматизация маркетинга и продаж  
Отслеживание прогресса обучения и успеваемости  
Интеграция с платежными системами  
Аналитика и отчеты по эффективности курсов</t>
        </is>
      </c>
    </row>
    <row r="9">
      <c r="A9" t="n">
        <v>8</v>
      </c>
      <c r="B9" s="2">
        <f>GPT_TRANSLATE(ячейка; "English")</f>
        <v/>
      </c>
      <c r="C9" s="2" t="inlineStr">
        <is>
          <t>Перевод содержимого ячейки на другой язык (язык задаётся параметром формулы)</t>
        </is>
      </c>
      <c r="D9" s="2" t="inlineStr">
        <is>
          <t>«Тарис» помогает экспертам вести учеников, обучение и оплаты в одном месте.</t>
        </is>
      </c>
      <c r="E9" s="2" t="inlineStr">
        <is>
          <t>Taris helps experts manage students, training, and payments in one place.</t>
        </is>
      </c>
    </row>
    <row r="10">
      <c r="A10" t="n">
        <v>9</v>
      </c>
      <c r="B10" s="2">
        <f>GPT_EXTRACT(ячейка; "email")</f>
        <v/>
      </c>
      <c r="C10" s="2" t="inlineStr">
        <is>
          <t>Извлечение конкретных данных из неструктурированного текста (что извлечь — параметр формулы)</t>
        </is>
      </c>
      <c r="D10" s="2" t="inlineStr">
        <is>
          <t>Заявка с сайта: Здравствуйте! Меня зовут Ирина, веду курс по нутрициологии, было бы интересно узнать про внедрение. Мой телефон +7 999 123-45-67, почта irina.coach@example.com, пишите в любое время.</t>
        </is>
      </c>
      <c r="E10" s="2" t="inlineStr">
        <is>
          <t>irina.coach@example.com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70" customWidth="1" min="3" max="3"/>
  </cols>
  <sheetData>
    <row r="1">
      <c r="A1" s="1" t="inlineStr">
        <is>
          <t>№</t>
        </is>
      </c>
      <c r="B1" s="1" t="inlineStr">
        <is>
          <t>Идея</t>
        </is>
      </c>
      <c r="C1" s="1" t="inlineStr">
        <is>
          <t>Как поможет в реальной работе</t>
        </is>
      </c>
    </row>
    <row r="2">
      <c r="A2" t="n">
        <v>1</v>
      </c>
      <c r="B2" s="2" t="inlineStr">
        <is>
          <t>Автозаполнение базы знаний для клиентов «Тариса»</t>
        </is>
      </c>
      <c r="C2" s="2" t="inlineStr">
        <is>
          <t>Например, для проекта «AI-Nutri-Виктория»: эксперт присылает голосом/текстом ответы на частые вопросы учеников, GPT в Google Таблице сразу оформляет их в готовые статьи базы знаний (вопрос → развёрнутый ответ), не тратя время эксперта на форматирование.</t>
        </is>
      </c>
    </row>
    <row r="3">
      <c r="A3" t="n">
        <v>2</v>
      </c>
      <c r="B3" s="2" t="inlineStr">
        <is>
          <t>Разбор входящих заявок на внедрение «Тариса»</t>
        </is>
      </c>
      <c r="C3" s="2" t="inlineStr">
        <is>
          <t>Заявки с сайта/из чатов вставляются в таблицу построчно, формула GPT_EXTRACT вытаскивает имя, нишу эксперта, контакт и главную боль из свободного текста — отдел продаж сразу видит структурированную таблицу лидов вместо сырых сообщений.</t>
        </is>
      </c>
    </row>
    <row r="4">
      <c r="A4" t="n">
        <v>3</v>
      </c>
      <c r="B4" s="2" t="inlineStr">
        <is>
          <t>Генерация контент-плана и текстов для соцсетей «Тариса»</t>
        </is>
      </c>
      <c r="C4" s="2" t="inlineStr">
        <is>
          <t>Раз в неделю в таблицу вносится 5-7 тем (боли/потребности целевых сегментов), формулы GPT_LIST и GPT сразу генерируют заголовки постов и черновики текста — маркетологу остаётся только отредактировать и опубликовать.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2026-08-11T14:31:55Z</dcterms:created>
  <dcterms:modified xmlns:dcterms="http://purl.org/dc/terms/" xmlns:xsi="http://www.w3.org/2001/XMLSchema-instance" xsi:type="dcterms:W3CDTF">2026-08-11T14:31:55Z</dcterms:modified>
</cp:coreProperties>
</file>